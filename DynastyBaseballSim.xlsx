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leh\Documents\SimGame\"/>
    </mc:Choice>
  </mc:AlternateContent>
  <xr:revisionPtr revIDLastSave="0" documentId="13_ncr:1_{6276DF70-9902-48DF-B52A-8E42DB5FC469}" xr6:coauthVersionLast="47" xr6:coauthVersionMax="47" xr10:uidLastSave="{00000000-0000-0000-0000-000000000000}"/>
  <bookViews>
    <workbookView xWindow="28680" yWindow="-120" windowWidth="29040" windowHeight="16440" firstSheet="3" activeTab="12" xr2:uid="{C26EDEAF-282F-4919-8CC4-922F674B33A6}"/>
  </bookViews>
  <sheets>
    <sheet name="Home" sheetId="10" r:id="rId1"/>
    <sheet name="Away" sheetId="11" r:id="rId2"/>
    <sheet name="Baseline" sheetId="9" r:id="rId3"/>
    <sheet name="Logic Outline" sheetId="1" r:id="rId4"/>
    <sheet name="Game" sheetId="2" r:id="rId5"/>
    <sheet name="Scalars" sheetId="3" r:id="rId6"/>
    <sheet name="Worlds" sheetId="17" r:id="rId7"/>
    <sheet name="Leagues" sheetId="18" r:id="rId8"/>
    <sheet name="Teams" sheetId="12" r:id="rId9"/>
    <sheet name="Team Seasons" sheetId="13" r:id="rId10"/>
    <sheet name="GameTypes" sheetId="20" r:id="rId11"/>
    <sheet name="Games" sheetId="14" r:id="rId12"/>
    <sheet name="Player" sheetId="15" r:id="rId13"/>
    <sheet name="PlayerGames" sheetId="21" r:id="rId14"/>
    <sheet name="PlayerSeasons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</calcChain>
</file>

<file path=xl/sharedStrings.xml><?xml version="1.0" encoding="utf-8"?>
<sst xmlns="http://schemas.openxmlformats.org/spreadsheetml/2006/main" count="539" uniqueCount="229">
  <si>
    <t>Ideas</t>
  </si>
  <si>
    <t>We need multiple objects</t>
  </si>
  <si>
    <t>Player</t>
  </si>
  <si>
    <t>Pitch</t>
  </si>
  <si>
    <t>Game</t>
  </si>
  <si>
    <t>Inning</t>
  </si>
  <si>
    <t>Each Play has a result</t>
  </si>
  <si>
    <t>Each player has their own stats and bonuses</t>
  </si>
  <si>
    <t>Half Inning</t>
  </si>
  <si>
    <t>Play</t>
  </si>
  <si>
    <t>The way a game would work</t>
  </si>
  <si>
    <t>Each Inning has rules. Should return scores, hits, things like that, Also returns Game Over if the game is over</t>
  </si>
  <si>
    <t>Home Team = Home</t>
  </si>
  <si>
    <t>Away Team = Away</t>
  </si>
  <si>
    <t>Inning = 1</t>
  </si>
  <si>
    <t>While Game = In-Progress</t>
  </si>
  <si>
    <t>Play an Inning</t>
  </si>
  <si>
    <t>TopHalf</t>
  </si>
  <si>
    <t>BottomHalf</t>
  </si>
  <si>
    <t>Return Score</t>
  </si>
  <si>
    <t>If Inning &lt; 9, or If Home Team Winning, return Game Over</t>
  </si>
  <si>
    <t>Top Half and Bottom Half, just flip teams</t>
  </si>
  <si>
    <t>If outs &lt; 3</t>
  </si>
  <si>
    <t>If Play (Steal, hit, other)</t>
  </si>
  <si>
    <t>play out the play.</t>
  </si>
  <si>
    <t>return the stats</t>
  </si>
  <si>
    <t>next batter</t>
  </si>
  <si>
    <t>if out, out++</t>
  </si>
  <si>
    <t>Pitch Selection</t>
  </si>
  <si>
    <t>Use Stats to have basic physics applied</t>
  </si>
  <si>
    <t>Batter stats to have swing applied</t>
  </si>
  <si>
    <t>Use hit location and player stats for fielding</t>
  </si>
  <si>
    <t>Decisions</t>
  </si>
  <si>
    <t>Home Team</t>
  </si>
  <si>
    <t>Away Team</t>
  </si>
  <si>
    <t>Pos</t>
  </si>
  <si>
    <t>AB</t>
  </si>
  <si>
    <t>H</t>
  </si>
  <si>
    <t>BB</t>
  </si>
  <si>
    <t>2B</t>
  </si>
  <si>
    <t>3B</t>
  </si>
  <si>
    <t>HR</t>
  </si>
  <si>
    <t>RBI</t>
  </si>
  <si>
    <t>R</t>
  </si>
  <si>
    <t>SB</t>
  </si>
  <si>
    <t>Results</t>
  </si>
  <si>
    <t>Player Attributes</t>
  </si>
  <si>
    <t>Greedy - fielding</t>
  </si>
  <si>
    <t>Greedy - base running</t>
  </si>
  <si>
    <t>Code in basic principals</t>
  </si>
  <si>
    <t>Ground Ball - play at easiest base</t>
  </si>
  <si>
    <t>Judgement - each playter gets a distribution and then tries to get lead runner - not always right choice</t>
  </si>
  <si>
    <t>If ball is hit to fielder</t>
  </si>
  <si>
    <t>A. What is scenario</t>
  </si>
  <si>
    <t>B. What do they choose to do</t>
  </si>
  <si>
    <t>C. Do they accomplish it?</t>
  </si>
  <si>
    <t>Make Fielding Decision</t>
  </si>
  <si>
    <t>Make BaseRunningDecision</t>
  </si>
  <si>
    <t>Rating</t>
  </si>
  <si>
    <t>Value</t>
  </si>
  <si>
    <t>Player (or maybe just a lookup)</t>
  </si>
  <si>
    <t>Each pitch should return strike, ball, ball-in-play, direction of ball in play and distance of ball in play</t>
  </si>
  <si>
    <t>At-Bat</t>
  </si>
  <si>
    <t>Each At Bat should return a result - hit, walk, strikeout, other out, etc.</t>
  </si>
  <si>
    <t>Each Half Inning Has 1 team bat</t>
  </si>
  <si>
    <t>Each Game has 9 innings or more if tied after each inning after the 9th</t>
  </si>
  <si>
    <t>Attributes/Bonuses</t>
  </si>
  <si>
    <t>Discovered in the minors over time ( - effect scaled rating, not base)</t>
  </si>
  <si>
    <t>Player A1</t>
  </si>
  <si>
    <t>Player A2</t>
  </si>
  <si>
    <t>Player A3</t>
  </si>
  <si>
    <t>Player A4</t>
  </si>
  <si>
    <t>Player A5</t>
  </si>
  <si>
    <t>Player A6</t>
  </si>
  <si>
    <t>Player A7</t>
  </si>
  <si>
    <t>Player A8</t>
  </si>
  <si>
    <t>Player A9</t>
  </si>
  <si>
    <t>Player B1</t>
  </si>
  <si>
    <t>Player B2</t>
  </si>
  <si>
    <t>Player B3</t>
  </si>
  <si>
    <t>Player B4</t>
  </si>
  <si>
    <t>Player B5</t>
  </si>
  <si>
    <t>Player B6</t>
  </si>
  <si>
    <t>Player B7</t>
  </si>
  <si>
    <t>Player B8</t>
  </si>
  <si>
    <t>Player B9</t>
  </si>
  <si>
    <t>Scalar</t>
  </si>
  <si>
    <t>Notes</t>
  </si>
  <si>
    <t>Proper Pitcher Stamina (Stamina  = legit)</t>
  </si>
  <si>
    <t>Relief Pitcher subs at starter stamina levels, runs/hits allowed levels, or score.</t>
  </si>
  <si>
    <t>When a pitchers stamina hits certain thresholds, they face certain penalties</t>
  </si>
  <si>
    <t>Rosters are 26 (X for Batters, Y for Pitchers and then Z can be either)</t>
  </si>
  <si>
    <t>Playoffs are very different than FB</t>
  </si>
  <si>
    <t>1st round byes for top teams</t>
  </si>
  <si>
    <t>Wild Card based on league performance</t>
  </si>
  <si>
    <t>Leagues are X divisions of Y teams</t>
  </si>
  <si>
    <t>Wild Card teams play-in to playoffs</t>
  </si>
  <si>
    <t>No "World Wild Card"</t>
  </si>
  <si>
    <t xml:space="preserve">Other Mid-Season tournaments </t>
  </si>
  <si>
    <t>5 game slots, 4 games per day, 20 days of games = 80 game seasons (half of MLB)</t>
  </si>
  <si>
    <t>Champions League (all league champions)</t>
  </si>
  <si>
    <t>Best players on new teams are players you can train not ones with immediate impact</t>
  </si>
  <si>
    <t>New Teams start with C ranked teams (75-80 rankings)</t>
  </si>
  <si>
    <t>Draft is mostly trainable players</t>
  </si>
  <si>
    <t>Players can be trained</t>
  </si>
  <si>
    <t>Ratings are based on true ratings (mid season changes are shown to the owner only)</t>
  </si>
  <si>
    <t>Psychological Factors exist (streaks, big play, etc)</t>
  </si>
  <si>
    <t>Players can unlock additional unlocks as perks - grinder, big moment, captain, etc</t>
  </si>
  <si>
    <t>Players can be set as a captain, ace, etc.</t>
  </si>
  <si>
    <t>Name</t>
  </si>
  <si>
    <t>Position</t>
  </si>
  <si>
    <t>Contact</t>
  </si>
  <si>
    <t>Running</t>
  </si>
  <si>
    <t>Power</t>
  </si>
  <si>
    <t>Fielding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</si>
  <si>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</si>
  <si>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</si>
  <si>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</si>
  <si>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</si>
  <si>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</si>
  <si>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</si>
  <si>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</si>
  <si>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</si>
  <si>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</si>
  <si>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Roster</t>
  </si>
  <si>
    <t>Starting</t>
  </si>
  <si>
    <t>Name10</t>
  </si>
  <si>
    <t>Name11</t>
  </si>
  <si>
    <t>Name12</t>
  </si>
  <si>
    <t>Name13</t>
  </si>
  <si>
    <t>Name14</t>
  </si>
  <si>
    <t>Name15</t>
  </si>
  <si>
    <t>Name16</t>
  </si>
  <si>
    <t>Name17</t>
  </si>
  <si>
    <t>Name18</t>
  </si>
  <si>
    <t>Name19</t>
  </si>
  <si>
    <t>Name20</t>
  </si>
  <si>
    <t>Name21</t>
  </si>
  <si>
    <t>Name22</t>
  </si>
  <si>
    <t>Name23</t>
  </si>
  <si>
    <t>Name24</t>
  </si>
  <si>
    <t>Pitcher</t>
  </si>
  <si>
    <t>Catcher</t>
  </si>
  <si>
    <t>Right Field</t>
  </si>
  <si>
    <t>Left Field</t>
  </si>
  <si>
    <t>Center Field</t>
  </si>
  <si>
    <t>Short Stop</t>
  </si>
  <si>
    <t>Third Base</t>
  </si>
  <si>
    <t>Second Base</t>
  </si>
  <si>
    <t>First Base</t>
  </si>
  <si>
    <t>Bench</t>
  </si>
  <si>
    <t>Stamina</t>
  </si>
  <si>
    <t>Endurance</t>
  </si>
  <si>
    <t>Team</t>
  </si>
  <si>
    <t>Velocity</t>
  </si>
  <si>
    <t>Movement</t>
  </si>
  <si>
    <t>Accuracy</t>
  </si>
  <si>
    <t>Team ID</t>
  </si>
  <si>
    <t>Team City</t>
  </si>
  <si>
    <t>Team Nickname</t>
  </si>
  <si>
    <t>Season ID</t>
  </si>
  <si>
    <t>Season Wins</t>
  </si>
  <si>
    <t>Season Losses</t>
  </si>
  <si>
    <t>Game ID</t>
  </si>
  <si>
    <t>Home Score</t>
  </si>
  <si>
    <t>Visitor Score</t>
  </si>
  <si>
    <t>Game Type</t>
  </si>
  <si>
    <t>League Title</t>
  </si>
  <si>
    <t>Division Title</t>
  </si>
  <si>
    <t>Wild Card Team</t>
  </si>
  <si>
    <t>World Title</t>
  </si>
  <si>
    <t>Team Owner</t>
  </si>
  <si>
    <t>Home Team ID</t>
  </si>
  <si>
    <t>Visiting Team ID</t>
  </si>
  <si>
    <t>Player ID</t>
  </si>
  <si>
    <t>World ID</t>
  </si>
  <si>
    <t>LeagueID</t>
  </si>
  <si>
    <t>World Name</t>
  </si>
  <si>
    <t>League Name</t>
  </si>
  <si>
    <t>GameType ID</t>
  </si>
  <si>
    <t>Game Type Name</t>
  </si>
  <si>
    <t>Preseason</t>
  </si>
  <si>
    <t>Regular Season</t>
  </si>
  <si>
    <t>Champions League Qualification</t>
  </si>
  <si>
    <t>Champions League Group Stage</t>
  </si>
  <si>
    <t>Champions League Finals</t>
  </si>
  <si>
    <t>Champions League Round of 16</t>
  </si>
  <si>
    <t>Champions League Quarter Finals</t>
  </si>
  <si>
    <t>Champions League Semi Finals</t>
  </si>
  <si>
    <t>League Playoffs - Wild Card</t>
  </si>
  <si>
    <t>League Playoffs - Quarter Finals</t>
  </si>
  <si>
    <t>League Playoffs - Semi Finals</t>
  </si>
  <si>
    <t>League Playoffs - Finals</t>
  </si>
  <si>
    <t>Player First Name</t>
  </si>
  <si>
    <t>Player Last Name</t>
  </si>
  <si>
    <t>Age</t>
  </si>
  <si>
    <t>Player Value</t>
  </si>
  <si>
    <t>Contract</t>
  </si>
  <si>
    <t>Stats</t>
  </si>
  <si>
    <t>League ID</t>
  </si>
  <si>
    <t xml:space="preserve">Washington </t>
  </si>
  <si>
    <t>DiamondBucs</t>
  </si>
  <si>
    <t>Abbreviation</t>
  </si>
  <si>
    <t>Funds</t>
  </si>
  <si>
    <t>Philadelphia</t>
  </si>
  <si>
    <t>Phillies</t>
  </si>
  <si>
    <t>PHI</t>
  </si>
  <si>
    <t>Baltimore</t>
  </si>
  <si>
    <t>Orioles</t>
  </si>
  <si>
    <t>BAL</t>
  </si>
  <si>
    <t>WAS</t>
  </si>
  <si>
    <t>New York</t>
  </si>
  <si>
    <t>Yankees</t>
  </si>
  <si>
    <t>NYY</t>
  </si>
  <si>
    <t>Psychological Factor</t>
  </si>
  <si>
    <t>Win Streak</t>
  </si>
  <si>
    <t>Stadium Bonus</t>
  </si>
  <si>
    <t>Other 1</t>
  </si>
  <si>
    <t>Other 2</t>
  </si>
  <si>
    <t>Other 3</t>
  </si>
  <si>
    <t>Other 4</t>
  </si>
  <si>
    <t>Other 5</t>
  </si>
  <si>
    <t>Alpha Premier</t>
  </si>
  <si>
    <t>Dynasty Baseball</t>
  </si>
  <si>
    <t>Subscriber Special</t>
  </si>
  <si>
    <t>Joe</t>
  </si>
  <si>
    <t>Schmoe</t>
  </si>
  <si>
    <t>Batting Order</t>
  </si>
  <si>
    <t>Roster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</si>
</sst>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1" fontId="0" fillId="0" borderId="0" xfId="0" applyNumberFormat="1"/>
    <xf numFmtId="6" fontId="0" fillId="0" borderId="0" xfId="0" applyNumberFormat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B72F-C24A-4391-8C61-ABD9E52508DE}">
  <dimension ref="A1:M25"/>
  <sheetViews>
    <sheetView workbookViewId="0">
      <selection activeCell="I12" sqref="I12"/>
    </sheetView>
  </sheetViews>
  <sheetFormatPr defaultRowHeight="15" x14ac:dyDescent="0.25"/>
  <cols>
    <col min="1" max="1" width="14" customWidth="1"/>
    <col min="3" max="3" width="12.140625" bestFit="1" customWidth="1"/>
    <col min="9" max="9" width="10.42578125" bestFit="1" customWidth="1"/>
  </cols>
  <sheetData>
    <row r="1" spans="1:13" x14ac:dyDescent="0.25">
      <c r="A1" t="s">
        <v>153</v>
      </c>
      <c r="B1" s="3" t="s">
        <v>109</v>
      </c>
      <c r="C1" s="3" t="s">
        <v>110</v>
      </c>
      <c r="D1" s="3" t="s">
        <v>124</v>
      </c>
      <c r="E1" s="3" t="s">
        <v>111</v>
      </c>
      <c r="F1" s="3" t="s">
        <v>112</v>
      </c>
      <c r="G1" s="3" t="s">
        <v>113</v>
      </c>
      <c r="H1" s="3" t="s">
        <v>114</v>
      </c>
      <c r="I1" s="3" t="s">
        <v>154</v>
      </c>
      <c r="J1" s="3" t="s">
        <v>155</v>
      </c>
      <c r="K1" s="3" t="s">
        <v>156</v>
      </c>
      <c r="L1" s="3" t="s">
        <v>152</v>
      </c>
      <c r="M1" s="3" t="s">
        <v>151</v>
      </c>
    </row>
    <row r="2" spans="1:13" x14ac:dyDescent="0.25">
      <c r="A2" t="s">
        <v>33</v>
      </c>
      <c r="B2" t="s">
        <v>115</v>
      </c>
      <c r="C2" t="s">
        <v>149</v>
      </c>
      <c r="D2" t="s">
        <v>125</v>
      </c>
      <c r="E2">
        <v>75</v>
      </c>
      <c r="F2">
        <v>75</v>
      </c>
      <c r="G2">
        <v>75</v>
      </c>
      <c r="H2">
        <v>75</v>
      </c>
      <c r="I2">
        <v>25</v>
      </c>
      <c r="J2">
        <v>25</v>
      </c>
      <c r="K2">
        <v>25</v>
      </c>
      <c r="L2">
        <v>75</v>
      </c>
      <c r="M2">
        <v>100</v>
      </c>
    </row>
    <row r="3" spans="1:13" x14ac:dyDescent="0.25">
      <c r="A3" t="s">
        <v>33</v>
      </c>
      <c r="B3" t="s">
        <v>116</v>
      </c>
      <c r="C3" t="s">
        <v>148</v>
      </c>
      <c r="D3" t="s">
        <v>125</v>
      </c>
      <c r="E3">
        <v>75</v>
      </c>
      <c r="F3">
        <v>75</v>
      </c>
      <c r="G3">
        <v>75</v>
      </c>
      <c r="H3">
        <v>75</v>
      </c>
      <c r="I3">
        <v>25</v>
      </c>
      <c r="J3">
        <v>25</v>
      </c>
      <c r="K3">
        <v>25</v>
      </c>
      <c r="L3">
        <v>75</v>
      </c>
      <c r="M3">
        <v>100</v>
      </c>
    </row>
    <row r="4" spans="1:13" x14ac:dyDescent="0.25">
      <c r="A4" t="s">
        <v>33</v>
      </c>
      <c r="B4" t="s">
        <v>117</v>
      </c>
      <c r="C4" t="s">
        <v>147</v>
      </c>
      <c r="D4" t="s">
        <v>125</v>
      </c>
      <c r="E4">
        <v>75</v>
      </c>
      <c r="F4">
        <v>75</v>
      </c>
      <c r="G4">
        <v>75</v>
      </c>
      <c r="H4">
        <v>75</v>
      </c>
      <c r="I4">
        <v>25</v>
      </c>
      <c r="J4">
        <v>25</v>
      </c>
      <c r="K4">
        <v>25</v>
      </c>
      <c r="L4">
        <v>75</v>
      </c>
      <c r="M4">
        <v>100</v>
      </c>
    </row>
    <row r="5" spans="1:13" x14ac:dyDescent="0.25">
      <c r="A5" t="s">
        <v>33</v>
      </c>
      <c r="B5" t="s">
        <v>118</v>
      </c>
      <c r="C5" t="s">
        <v>146</v>
      </c>
      <c r="D5" t="s">
        <v>125</v>
      </c>
      <c r="E5">
        <v>75</v>
      </c>
      <c r="F5">
        <v>75</v>
      </c>
      <c r="G5">
        <v>75</v>
      </c>
      <c r="H5">
        <v>75</v>
      </c>
      <c r="I5">
        <v>25</v>
      </c>
      <c r="J5">
        <v>25</v>
      </c>
      <c r="K5">
        <v>25</v>
      </c>
      <c r="L5">
        <v>75</v>
      </c>
      <c r="M5">
        <v>100</v>
      </c>
    </row>
    <row r="6" spans="1:13" x14ac:dyDescent="0.25">
      <c r="A6" t="s">
        <v>33</v>
      </c>
      <c r="B6" t="s">
        <v>119</v>
      </c>
      <c r="C6" t="s">
        <v>145</v>
      </c>
      <c r="D6" t="s">
        <v>125</v>
      </c>
      <c r="E6">
        <v>75</v>
      </c>
      <c r="F6">
        <v>75</v>
      </c>
      <c r="G6">
        <v>75</v>
      </c>
      <c r="H6">
        <v>75</v>
      </c>
      <c r="I6">
        <v>25</v>
      </c>
      <c r="J6">
        <v>25</v>
      </c>
      <c r="K6">
        <v>25</v>
      </c>
      <c r="L6">
        <v>75</v>
      </c>
      <c r="M6">
        <v>100</v>
      </c>
    </row>
    <row r="7" spans="1:13" x14ac:dyDescent="0.25">
      <c r="A7" t="s">
        <v>33</v>
      </c>
      <c r="B7" t="s">
        <v>120</v>
      </c>
      <c r="C7" t="s">
        <v>144</v>
      </c>
      <c r="D7" t="s">
        <v>125</v>
      </c>
      <c r="E7">
        <v>75</v>
      </c>
      <c r="F7">
        <v>75</v>
      </c>
      <c r="G7">
        <v>75</v>
      </c>
      <c r="H7">
        <v>75</v>
      </c>
      <c r="I7">
        <v>25</v>
      </c>
      <c r="J7">
        <v>25</v>
      </c>
      <c r="K7">
        <v>25</v>
      </c>
      <c r="L7">
        <v>75</v>
      </c>
      <c r="M7">
        <v>100</v>
      </c>
    </row>
    <row r="8" spans="1:13" x14ac:dyDescent="0.25">
      <c r="A8" t="s">
        <v>33</v>
      </c>
      <c r="B8" t="s">
        <v>121</v>
      </c>
      <c r="C8" t="s">
        <v>143</v>
      </c>
      <c r="D8" t="s">
        <v>125</v>
      </c>
      <c r="E8">
        <v>75</v>
      </c>
      <c r="F8">
        <v>75</v>
      </c>
      <c r="G8">
        <v>75</v>
      </c>
      <c r="H8">
        <v>75</v>
      </c>
      <c r="I8">
        <v>25</v>
      </c>
      <c r="J8">
        <v>25</v>
      </c>
      <c r="K8">
        <v>25</v>
      </c>
      <c r="L8">
        <v>75</v>
      </c>
      <c r="M8">
        <v>100</v>
      </c>
    </row>
    <row r="9" spans="1:13" x14ac:dyDescent="0.25">
      <c r="A9" t="s">
        <v>33</v>
      </c>
      <c r="B9" t="s">
        <v>122</v>
      </c>
      <c r="C9" t="s">
        <v>141</v>
      </c>
      <c r="D9" t="s">
        <v>125</v>
      </c>
      <c r="E9">
        <v>25</v>
      </c>
      <c r="F9">
        <v>25</v>
      </c>
      <c r="G9">
        <v>25</v>
      </c>
      <c r="H9">
        <v>25</v>
      </c>
      <c r="I9">
        <v>75</v>
      </c>
      <c r="J9">
        <v>75</v>
      </c>
      <c r="K9">
        <v>75</v>
      </c>
      <c r="L9">
        <v>75</v>
      </c>
      <c r="M9">
        <v>100</v>
      </c>
    </row>
    <row r="10" spans="1:13" x14ac:dyDescent="0.25">
      <c r="A10" t="s">
        <v>33</v>
      </c>
      <c r="B10" t="s">
        <v>123</v>
      </c>
      <c r="C10" t="s">
        <v>142</v>
      </c>
      <c r="D10" t="s">
        <v>125</v>
      </c>
      <c r="E10">
        <v>75</v>
      </c>
      <c r="F10">
        <v>75</v>
      </c>
      <c r="G10">
        <v>75</v>
      </c>
      <c r="H10">
        <v>75</v>
      </c>
      <c r="I10">
        <v>25</v>
      </c>
      <c r="J10">
        <v>25</v>
      </c>
      <c r="K10">
        <v>25</v>
      </c>
      <c r="L10">
        <v>75</v>
      </c>
      <c r="M10">
        <v>100</v>
      </c>
    </row>
    <row r="11" spans="1:13" x14ac:dyDescent="0.25">
      <c r="A11" t="s">
        <v>33</v>
      </c>
      <c r="B11" t="s">
        <v>126</v>
      </c>
      <c r="C11" t="s">
        <v>149</v>
      </c>
      <c r="D11" t="s">
        <v>150</v>
      </c>
      <c r="E11">
        <v>60</v>
      </c>
      <c r="F11">
        <v>60</v>
      </c>
      <c r="G11">
        <v>60</v>
      </c>
      <c r="H11">
        <v>60</v>
      </c>
      <c r="I11">
        <v>25</v>
      </c>
      <c r="J11">
        <v>25</v>
      </c>
      <c r="K11">
        <v>25</v>
      </c>
      <c r="L11">
        <v>60</v>
      </c>
      <c r="M11">
        <v>100</v>
      </c>
    </row>
    <row r="12" spans="1:13" x14ac:dyDescent="0.25">
      <c r="A12" t="s">
        <v>33</v>
      </c>
      <c r="B12" t="s">
        <v>127</v>
      </c>
      <c r="C12" t="s">
        <v>148</v>
      </c>
      <c r="D12" t="s">
        <v>150</v>
      </c>
      <c r="E12">
        <v>60</v>
      </c>
      <c r="F12">
        <v>60</v>
      </c>
      <c r="G12">
        <v>60</v>
      </c>
      <c r="H12">
        <v>60</v>
      </c>
      <c r="I12">
        <v>25</v>
      </c>
      <c r="J12">
        <v>25</v>
      </c>
      <c r="K12">
        <v>25</v>
      </c>
      <c r="L12">
        <v>60</v>
      </c>
      <c r="M12">
        <v>100</v>
      </c>
    </row>
    <row r="13" spans="1:13" x14ac:dyDescent="0.25">
      <c r="A13" t="s">
        <v>33</v>
      </c>
      <c r="B13" t="s">
        <v>128</v>
      </c>
      <c r="C13" t="s">
        <v>147</v>
      </c>
      <c r="D13" t="s">
        <v>150</v>
      </c>
      <c r="E13">
        <v>60</v>
      </c>
      <c r="F13">
        <v>60</v>
      </c>
      <c r="G13">
        <v>60</v>
      </c>
      <c r="H13">
        <v>60</v>
      </c>
      <c r="I13">
        <v>25</v>
      </c>
      <c r="J13">
        <v>25</v>
      </c>
      <c r="K13">
        <v>25</v>
      </c>
      <c r="L13">
        <v>60</v>
      </c>
      <c r="M13">
        <v>100</v>
      </c>
    </row>
    <row r="14" spans="1:13" x14ac:dyDescent="0.25">
      <c r="A14" t="s">
        <v>33</v>
      </c>
      <c r="B14" t="s">
        <v>129</v>
      </c>
      <c r="C14" t="s">
        <v>146</v>
      </c>
      <c r="D14" t="s">
        <v>150</v>
      </c>
      <c r="E14">
        <v>60</v>
      </c>
      <c r="F14">
        <v>60</v>
      </c>
      <c r="G14">
        <v>60</v>
      </c>
      <c r="H14">
        <v>60</v>
      </c>
      <c r="I14">
        <v>25</v>
      </c>
      <c r="J14">
        <v>25</v>
      </c>
      <c r="K14">
        <v>25</v>
      </c>
      <c r="L14">
        <v>60</v>
      </c>
      <c r="M14">
        <v>100</v>
      </c>
    </row>
    <row r="15" spans="1:13" x14ac:dyDescent="0.25">
      <c r="A15" t="s">
        <v>33</v>
      </c>
      <c r="B15" t="s">
        <v>130</v>
      </c>
      <c r="C15" t="s">
        <v>145</v>
      </c>
      <c r="D15" t="s">
        <v>150</v>
      </c>
      <c r="E15">
        <v>60</v>
      </c>
      <c r="F15">
        <v>60</v>
      </c>
      <c r="G15">
        <v>60</v>
      </c>
      <c r="H15">
        <v>60</v>
      </c>
      <c r="I15">
        <v>25</v>
      </c>
      <c r="J15">
        <v>25</v>
      </c>
      <c r="K15">
        <v>25</v>
      </c>
      <c r="L15">
        <v>60</v>
      </c>
      <c r="M15">
        <v>100</v>
      </c>
    </row>
    <row r="16" spans="1:13" x14ac:dyDescent="0.25">
      <c r="A16" t="s">
        <v>33</v>
      </c>
      <c r="B16" t="s">
        <v>131</v>
      </c>
      <c r="C16" t="s">
        <v>144</v>
      </c>
      <c r="D16" t="s">
        <v>150</v>
      </c>
      <c r="E16">
        <v>60</v>
      </c>
      <c r="F16">
        <v>60</v>
      </c>
      <c r="G16">
        <v>60</v>
      </c>
      <c r="H16">
        <v>60</v>
      </c>
      <c r="I16">
        <v>25</v>
      </c>
      <c r="J16">
        <v>25</v>
      </c>
      <c r="K16">
        <v>25</v>
      </c>
      <c r="L16">
        <v>60</v>
      </c>
      <c r="M16">
        <v>100</v>
      </c>
    </row>
    <row r="17" spans="1:13" x14ac:dyDescent="0.25">
      <c r="A17" t="s">
        <v>33</v>
      </c>
      <c r="B17" t="s">
        <v>132</v>
      </c>
      <c r="C17" t="s">
        <v>143</v>
      </c>
      <c r="D17" t="s">
        <v>150</v>
      </c>
      <c r="E17">
        <v>60</v>
      </c>
      <c r="F17">
        <v>60</v>
      </c>
      <c r="G17">
        <v>60</v>
      </c>
      <c r="H17">
        <v>60</v>
      </c>
      <c r="I17">
        <v>25</v>
      </c>
      <c r="J17">
        <v>25</v>
      </c>
      <c r="K17">
        <v>25</v>
      </c>
      <c r="L17">
        <v>60</v>
      </c>
      <c r="M17">
        <v>100</v>
      </c>
    </row>
    <row r="18" spans="1:13" x14ac:dyDescent="0.25">
      <c r="A18" t="s">
        <v>33</v>
      </c>
      <c r="B18" t="s">
        <v>133</v>
      </c>
      <c r="C18" t="s">
        <v>141</v>
      </c>
      <c r="D18" t="s">
        <v>150</v>
      </c>
      <c r="E18">
        <v>60</v>
      </c>
      <c r="F18">
        <v>60</v>
      </c>
      <c r="G18">
        <v>60</v>
      </c>
      <c r="H18">
        <v>60</v>
      </c>
      <c r="I18">
        <v>25</v>
      </c>
      <c r="J18">
        <v>25</v>
      </c>
      <c r="K18">
        <v>25</v>
      </c>
      <c r="L18">
        <v>60</v>
      </c>
      <c r="M18">
        <v>100</v>
      </c>
    </row>
    <row r="19" spans="1:13" x14ac:dyDescent="0.25">
      <c r="A19" t="s">
        <v>33</v>
      </c>
      <c r="B19" t="s">
        <v>134</v>
      </c>
      <c r="C19" t="s">
        <v>142</v>
      </c>
      <c r="D19" t="s">
        <v>150</v>
      </c>
      <c r="E19">
        <v>60</v>
      </c>
      <c r="F19">
        <v>60</v>
      </c>
      <c r="G19">
        <v>60</v>
      </c>
      <c r="H19">
        <v>60</v>
      </c>
      <c r="I19">
        <v>25</v>
      </c>
      <c r="J19">
        <v>25</v>
      </c>
      <c r="K19">
        <v>25</v>
      </c>
      <c r="L19">
        <v>60</v>
      </c>
      <c r="M19">
        <v>100</v>
      </c>
    </row>
    <row r="20" spans="1:13" x14ac:dyDescent="0.25">
      <c r="A20" t="s">
        <v>33</v>
      </c>
      <c r="B20" t="s">
        <v>135</v>
      </c>
      <c r="C20" t="s">
        <v>141</v>
      </c>
      <c r="D20" t="s">
        <v>150</v>
      </c>
      <c r="E20">
        <v>25</v>
      </c>
      <c r="F20">
        <v>25</v>
      </c>
      <c r="G20">
        <v>25</v>
      </c>
      <c r="H20">
        <v>25</v>
      </c>
      <c r="I20">
        <v>75</v>
      </c>
      <c r="J20">
        <v>75</v>
      </c>
      <c r="K20">
        <v>75</v>
      </c>
      <c r="L20">
        <v>60</v>
      </c>
      <c r="M20">
        <v>100</v>
      </c>
    </row>
    <row r="21" spans="1:13" x14ac:dyDescent="0.25">
      <c r="A21" t="s">
        <v>33</v>
      </c>
      <c r="B21" t="s">
        <v>136</v>
      </c>
      <c r="C21" t="s">
        <v>141</v>
      </c>
      <c r="D21" t="s">
        <v>150</v>
      </c>
      <c r="E21">
        <v>25</v>
      </c>
      <c r="F21">
        <v>25</v>
      </c>
      <c r="G21">
        <v>25</v>
      </c>
      <c r="H21">
        <v>25</v>
      </c>
      <c r="I21">
        <v>75</v>
      </c>
      <c r="J21">
        <v>75</v>
      </c>
      <c r="K21">
        <v>75</v>
      </c>
      <c r="L21">
        <v>60</v>
      </c>
      <c r="M21">
        <v>100</v>
      </c>
    </row>
    <row r="22" spans="1:13" x14ac:dyDescent="0.25">
      <c r="A22" t="s">
        <v>33</v>
      </c>
      <c r="B22" t="s">
        <v>137</v>
      </c>
      <c r="C22" t="s">
        <v>141</v>
      </c>
      <c r="D22" t="s">
        <v>150</v>
      </c>
      <c r="E22">
        <v>25</v>
      </c>
      <c r="F22">
        <v>25</v>
      </c>
      <c r="G22">
        <v>25</v>
      </c>
      <c r="H22">
        <v>25</v>
      </c>
      <c r="I22">
        <v>75</v>
      </c>
      <c r="J22">
        <v>75</v>
      </c>
      <c r="K22">
        <v>75</v>
      </c>
      <c r="L22">
        <v>60</v>
      </c>
      <c r="M22">
        <v>100</v>
      </c>
    </row>
    <row r="23" spans="1:13" x14ac:dyDescent="0.25">
      <c r="A23" t="s">
        <v>33</v>
      </c>
      <c r="B23" t="s">
        <v>138</v>
      </c>
      <c r="C23" t="s">
        <v>141</v>
      </c>
      <c r="D23" t="s">
        <v>150</v>
      </c>
      <c r="E23">
        <v>25</v>
      </c>
      <c r="F23">
        <v>25</v>
      </c>
      <c r="G23">
        <v>25</v>
      </c>
      <c r="H23">
        <v>25</v>
      </c>
      <c r="I23">
        <v>75</v>
      </c>
      <c r="J23">
        <v>75</v>
      </c>
      <c r="K23">
        <v>75</v>
      </c>
      <c r="L23">
        <v>60</v>
      </c>
      <c r="M23">
        <v>100</v>
      </c>
    </row>
    <row r="24" spans="1:13" x14ac:dyDescent="0.25">
      <c r="A24" t="s">
        <v>33</v>
      </c>
      <c r="B24" t="s">
        <v>139</v>
      </c>
      <c r="C24" t="s">
        <v>141</v>
      </c>
      <c r="D24" t="s">
        <v>150</v>
      </c>
      <c r="E24">
        <v>25</v>
      </c>
      <c r="F24">
        <v>25</v>
      </c>
      <c r="G24">
        <v>25</v>
      </c>
      <c r="H24">
        <v>25</v>
      </c>
      <c r="I24">
        <v>75</v>
      </c>
      <c r="J24">
        <v>75</v>
      </c>
      <c r="K24">
        <v>75</v>
      </c>
      <c r="L24">
        <v>60</v>
      </c>
      <c r="M24">
        <v>100</v>
      </c>
    </row>
    <row r="25" spans="1:13" x14ac:dyDescent="0.25">
      <c r="A25" t="s">
        <v>33</v>
      </c>
      <c r="B25" t="s">
        <v>140</v>
      </c>
      <c r="C25" t="s">
        <v>141</v>
      </c>
      <c r="D25" t="s">
        <v>150</v>
      </c>
      <c r="E25">
        <v>25</v>
      </c>
      <c r="F25">
        <v>25</v>
      </c>
      <c r="G25">
        <v>25</v>
      </c>
      <c r="H25">
        <v>25</v>
      </c>
      <c r="I25">
        <v>75</v>
      </c>
      <c r="J25">
        <v>75</v>
      </c>
      <c r="K25">
        <v>75</v>
      </c>
      <c r="L25">
        <v>60</v>
      </c>
      <c r="M2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2FCA-7971-4F38-8AD4-83E66BF0A159}">
  <dimension ref="A1:M25"/>
  <sheetViews>
    <sheetView workbookViewId="0">
      <selection activeCell="B31" sqref="B31"/>
    </sheetView>
  </sheetViews>
  <sheetFormatPr defaultRowHeight="15" x14ac:dyDescent="0.25"/>
  <cols>
    <col min="1" max="1" width="11.42578125" bestFit="1" customWidth="1"/>
    <col min="3" max="3" width="12.7109375" customWidth="1"/>
    <col min="10" max="10" width="10.42578125" customWidth="1"/>
    <col min="12" max="12" width="10.42578125" customWidth="1"/>
  </cols>
  <sheetData>
    <row r="1" spans="1:13" x14ac:dyDescent="0.25">
      <c r="A1" t="s">
        <v>153</v>
      </c>
      <c r="B1" s="3" t="s">
        <v>109</v>
      </c>
      <c r="C1" s="3" t="s">
        <v>110</v>
      </c>
      <c r="D1" s="3" t="s">
        <v>124</v>
      </c>
      <c r="E1" s="3" t="s">
        <v>111</v>
      </c>
      <c r="F1" s="3" t="s">
        <v>112</v>
      </c>
      <c r="G1" s="3" t="s">
        <v>113</v>
      </c>
      <c r="H1" s="3" t="s">
        <v>114</v>
      </c>
      <c r="I1" s="3" t="s">
        <v>154</v>
      </c>
      <c r="J1" s="3" t="s">
        <v>155</v>
      </c>
      <c r="K1" s="3" t="s">
        <v>156</v>
      </c>
      <c r="L1" s="3" t="s">
        <v>152</v>
      </c>
      <c r="M1" s="3" t="s">
        <v>151</v>
      </c>
    </row>
    <row r="2" spans="1:13" x14ac:dyDescent="0.25">
      <c r="A2" t="s">
        <v>34</v>
      </c>
      <c r="B2" t="s">
        <v>115</v>
      </c>
      <c r="C2" t="s">
        <v>149</v>
      </c>
      <c r="D2" t="s">
        <v>125</v>
      </c>
      <c r="E2">
        <v>75</v>
      </c>
      <c r="F2">
        <v>75</v>
      </c>
      <c r="G2">
        <v>75</v>
      </c>
      <c r="H2">
        <v>75</v>
      </c>
      <c r="I2">
        <v>25</v>
      </c>
      <c r="J2">
        <v>25</v>
      </c>
      <c r="K2">
        <v>25</v>
      </c>
      <c r="L2">
        <v>75</v>
      </c>
      <c r="M2">
        <v>100</v>
      </c>
    </row>
    <row r="3" spans="1:13" x14ac:dyDescent="0.25">
      <c r="A3" t="s">
        <v>34</v>
      </c>
      <c r="B3" t="s">
        <v>116</v>
      </c>
      <c r="C3" t="s">
        <v>148</v>
      </c>
      <c r="D3" t="s">
        <v>125</v>
      </c>
      <c r="E3">
        <v>75</v>
      </c>
      <c r="F3">
        <v>75</v>
      </c>
      <c r="G3">
        <v>75</v>
      </c>
      <c r="H3">
        <v>75</v>
      </c>
      <c r="I3">
        <v>25</v>
      </c>
      <c r="J3">
        <v>25</v>
      </c>
      <c r="K3">
        <v>25</v>
      </c>
      <c r="L3">
        <v>75</v>
      </c>
      <c r="M3">
        <v>100</v>
      </c>
    </row>
    <row r="4" spans="1:13" x14ac:dyDescent="0.25">
      <c r="A4" t="s">
        <v>34</v>
      </c>
      <c r="B4" t="s">
        <v>117</v>
      </c>
      <c r="C4" t="s">
        <v>147</v>
      </c>
      <c r="D4" t="s">
        <v>125</v>
      </c>
      <c r="E4">
        <v>75</v>
      </c>
      <c r="F4">
        <v>75</v>
      </c>
      <c r="G4">
        <v>75</v>
      </c>
      <c r="H4">
        <v>75</v>
      </c>
      <c r="I4">
        <v>25</v>
      </c>
      <c r="J4">
        <v>25</v>
      </c>
      <c r="K4">
        <v>25</v>
      </c>
      <c r="L4">
        <v>75</v>
      </c>
      <c r="M4">
        <v>100</v>
      </c>
    </row>
    <row r="5" spans="1:13" x14ac:dyDescent="0.25">
      <c r="A5" t="s">
        <v>34</v>
      </c>
      <c r="B5" t="s">
        <v>118</v>
      </c>
      <c r="C5" t="s">
        <v>146</v>
      </c>
      <c r="D5" t="s">
        <v>125</v>
      </c>
      <c r="E5">
        <v>75</v>
      </c>
      <c r="F5">
        <v>75</v>
      </c>
      <c r="G5">
        <v>75</v>
      </c>
      <c r="H5">
        <v>75</v>
      </c>
      <c r="I5">
        <v>25</v>
      </c>
      <c r="J5">
        <v>25</v>
      </c>
      <c r="K5">
        <v>25</v>
      </c>
      <c r="L5">
        <v>75</v>
      </c>
      <c r="M5">
        <v>100</v>
      </c>
    </row>
    <row r="6" spans="1:13" x14ac:dyDescent="0.25">
      <c r="A6" t="s">
        <v>34</v>
      </c>
      <c r="B6" t="s">
        <v>119</v>
      </c>
      <c r="C6" t="s">
        <v>145</v>
      </c>
      <c r="D6" t="s">
        <v>125</v>
      </c>
      <c r="E6">
        <v>75</v>
      </c>
      <c r="F6">
        <v>75</v>
      </c>
      <c r="G6">
        <v>75</v>
      </c>
      <c r="H6">
        <v>75</v>
      </c>
      <c r="I6">
        <v>25</v>
      </c>
      <c r="J6">
        <v>25</v>
      </c>
      <c r="K6">
        <v>25</v>
      </c>
      <c r="L6">
        <v>75</v>
      </c>
      <c r="M6">
        <v>100</v>
      </c>
    </row>
    <row r="7" spans="1:13" x14ac:dyDescent="0.25">
      <c r="A7" t="s">
        <v>34</v>
      </c>
      <c r="B7" t="s">
        <v>120</v>
      </c>
      <c r="C7" t="s">
        <v>144</v>
      </c>
      <c r="D7" t="s">
        <v>125</v>
      </c>
      <c r="E7">
        <v>75</v>
      </c>
      <c r="F7">
        <v>75</v>
      </c>
      <c r="G7">
        <v>75</v>
      </c>
      <c r="H7">
        <v>75</v>
      </c>
      <c r="I7">
        <v>25</v>
      </c>
      <c r="J7">
        <v>25</v>
      </c>
      <c r="K7">
        <v>25</v>
      </c>
      <c r="L7">
        <v>75</v>
      </c>
      <c r="M7">
        <v>100</v>
      </c>
    </row>
    <row r="8" spans="1:13" x14ac:dyDescent="0.25">
      <c r="A8" t="s">
        <v>34</v>
      </c>
      <c r="B8" t="s">
        <v>121</v>
      </c>
      <c r="C8" t="s">
        <v>143</v>
      </c>
      <c r="D8" t="s">
        <v>125</v>
      </c>
      <c r="E8">
        <v>75</v>
      </c>
      <c r="F8">
        <v>75</v>
      </c>
      <c r="G8">
        <v>75</v>
      </c>
      <c r="H8">
        <v>75</v>
      </c>
      <c r="I8">
        <v>25</v>
      </c>
      <c r="J8">
        <v>25</v>
      </c>
      <c r="K8">
        <v>25</v>
      </c>
      <c r="L8">
        <v>75</v>
      </c>
      <c r="M8">
        <v>100</v>
      </c>
    </row>
    <row r="9" spans="1:13" x14ac:dyDescent="0.25">
      <c r="A9" t="s">
        <v>34</v>
      </c>
      <c r="B9" t="s">
        <v>122</v>
      </c>
      <c r="C9" t="s">
        <v>141</v>
      </c>
      <c r="D9" t="s">
        <v>125</v>
      </c>
      <c r="E9">
        <v>25</v>
      </c>
      <c r="F9">
        <v>25</v>
      </c>
      <c r="G9">
        <v>25</v>
      </c>
      <c r="H9">
        <v>25</v>
      </c>
      <c r="I9">
        <v>75</v>
      </c>
      <c r="J9">
        <v>75</v>
      </c>
      <c r="K9">
        <v>75</v>
      </c>
      <c r="L9">
        <v>75</v>
      </c>
      <c r="M9">
        <v>100</v>
      </c>
    </row>
    <row r="10" spans="1:13" x14ac:dyDescent="0.25">
      <c r="A10" t="s">
        <v>34</v>
      </c>
      <c r="B10" t="s">
        <v>123</v>
      </c>
      <c r="C10" t="s">
        <v>142</v>
      </c>
      <c r="D10" t="s">
        <v>125</v>
      </c>
      <c r="E10">
        <v>75</v>
      </c>
      <c r="F10">
        <v>75</v>
      </c>
      <c r="G10">
        <v>75</v>
      </c>
      <c r="H10">
        <v>75</v>
      </c>
      <c r="I10">
        <v>25</v>
      </c>
      <c r="J10">
        <v>25</v>
      </c>
      <c r="K10">
        <v>25</v>
      </c>
      <c r="L10">
        <v>75</v>
      </c>
      <c r="M10">
        <v>100</v>
      </c>
    </row>
    <row r="11" spans="1:13" x14ac:dyDescent="0.25">
      <c r="A11" t="s">
        <v>34</v>
      </c>
      <c r="B11" t="s">
        <v>126</v>
      </c>
      <c r="C11" t="s">
        <v>149</v>
      </c>
      <c r="D11" t="s">
        <v>150</v>
      </c>
      <c r="E11">
        <v>60</v>
      </c>
      <c r="F11">
        <v>60</v>
      </c>
      <c r="G11">
        <v>60</v>
      </c>
      <c r="H11">
        <v>60</v>
      </c>
      <c r="I11">
        <v>25</v>
      </c>
      <c r="J11">
        <v>25</v>
      </c>
      <c r="K11">
        <v>25</v>
      </c>
      <c r="L11">
        <v>60</v>
      </c>
      <c r="M11">
        <v>100</v>
      </c>
    </row>
    <row r="12" spans="1:13" x14ac:dyDescent="0.25">
      <c r="A12" t="s">
        <v>34</v>
      </c>
      <c r="B12" t="s">
        <v>127</v>
      </c>
      <c r="C12" t="s">
        <v>148</v>
      </c>
      <c r="D12" t="s">
        <v>150</v>
      </c>
      <c r="E12">
        <v>60</v>
      </c>
      <c r="F12">
        <v>60</v>
      </c>
      <c r="G12">
        <v>60</v>
      </c>
      <c r="H12">
        <v>60</v>
      </c>
      <c r="I12">
        <v>25</v>
      </c>
      <c r="J12">
        <v>25</v>
      </c>
      <c r="K12">
        <v>25</v>
      </c>
      <c r="L12">
        <v>60</v>
      </c>
      <c r="M12">
        <v>100</v>
      </c>
    </row>
    <row r="13" spans="1:13" x14ac:dyDescent="0.25">
      <c r="A13" t="s">
        <v>34</v>
      </c>
      <c r="B13" t="s">
        <v>128</v>
      </c>
      <c r="C13" t="s">
        <v>147</v>
      </c>
      <c r="D13" t="s">
        <v>150</v>
      </c>
      <c r="E13">
        <v>60</v>
      </c>
      <c r="F13">
        <v>60</v>
      </c>
      <c r="G13">
        <v>60</v>
      </c>
      <c r="H13">
        <v>60</v>
      </c>
      <c r="I13">
        <v>25</v>
      </c>
      <c r="J13">
        <v>25</v>
      </c>
      <c r="K13">
        <v>25</v>
      </c>
      <c r="L13">
        <v>60</v>
      </c>
      <c r="M13">
        <v>100</v>
      </c>
    </row>
    <row r="14" spans="1:13" x14ac:dyDescent="0.25">
      <c r="A14" t="s">
        <v>34</v>
      </c>
      <c r="B14" t="s">
        <v>129</v>
      </c>
      <c r="C14" t="s">
        <v>146</v>
      </c>
      <c r="D14" t="s">
        <v>150</v>
      </c>
      <c r="E14">
        <v>60</v>
      </c>
      <c r="F14">
        <v>60</v>
      </c>
      <c r="G14">
        <v>60</v>
      </c>
      <c r="H14">
        <v>60</v>
      </c>
      <c r="I14">
        <v>25</v>
      </c>
      <c r="J14">
        <v>25</v>
      </c>
      <c r="K14">
        <v>25</v>
      </c>
      <c r="L14">
        <v>60</v>
      </c>
      <c r="M14">
        <v>100</v>
      </c>
    </row>
    <row r="15" spans="1:13" x14ac:dyDescent="0.25">
      <c r="A15" t="s">
        <v>34</v>
      </c>
      <c r="B15" t="s">
        <v>130</v>
      </c>
      <c r="C15" t="s">
        <v>145</v>
      </c>
      <c r="D15" t="s">
        <v>150</v>
      </c>
      <c r="E15">
        <v>60</v>
      </c>
      <c r="F15">
        <v>60</v>
      </c>
      <c r="G15">
        <v>60</v>
      </c>
      <c r="H15">
        <v>60</v>
      </c>
      <c r="I15">
        <v>25</v>
      </c>
      <c r="J15">
        <v>25</v>
      </c>
      <c r="K15">
        <v>25</v>
      </c>
      <c r="L15">
        <v>60</v>
      </c>
      <c r="M15">
        <v>100</v>
      </c>
    </row>
    <row r="16" spans="1:13" x14ac:dyDescent="0.25">
      <c r="A16" t="s">
        <v>34</v>
      </c>
      <c r="B16" t="s">
        <v>131</v>
      </c>
      <c r="C16" t="s">
        <v>144</v>
      </c>
      <c r="D16" t="s">
        <v>150</v>
      </c>
      <c r="E16">
        <v>60</v>
      </c>
      <c r="F16">
        <v>60</v>
      </c>
      <c r="G16">
        <v>60</v>
      </c>
      <c r="H16">
        <v>60</v>
      </c>
      <c r="I16">
        <v>25</v>
      </c>
      <c r="J16">
        <v>25</v>
      </c>
      <c r="K16">
        <v>25</v>
      </c>
      <c r="L16">
        <v>60</v>
      </c>
      <c r="M16">
        <v>100</v>
      </c>
    </row>
    <row r="17" spans="1:13" x14ac:dyDescent="0.25">
      <c r="A17" t="s">
        <v>34</v>
      </c>
      <c r="B17" t="s">
        <v>132</v>
      </c>
      <c r="C17" t="s">
        <v>143</v>
      </c>
      <c r="D17" t="s">
        <v>150</v>
      </c>
      <c r="E17">
        <v>60</v>
      </c>
      <c r="F17">
        <v>60</v>
      </c>
      <c r="G17">
        <v>60</v>
      </c>
      <c r="H17">
        <v>60</v>
      </c>
      <c r="I17">
        <v>25</v>
      </c>
      <c r="J17">
        <v>25</v>
      </c>
      <c r="K17">
        <v>25</v>
      </c>
      <c r="L17">
        <v>60</v>
      </c>
      <c r="M17">
        <v>100</v>
      </c>
    </row>
    <row r="18" spans="1:13" x14ac:dyDescent="0.25">
      <c r="A18" t="s">
        <v>34</v>
      </c>
      <c r="B18" t="s">
        <v>133</v>
      </c>
      <c r="C18" t="s">
        <v>141</v>
      </c>
      <c r="D18" t="s">
        <v>150</v>
      </c>
      <c r="E18">
        <v>60</v>
      </c>
      <c r="F18">
        <v>60</v>
      </c>
      <c r="G18">
        <v>60</v>
      </c>
      <c r="H18">
        <v>60</v>
      </c>
      <c r="I18">
        <v>25</v>
      </c>
      <c r="J18">
        <v>25</v>
      </c>
      <c r="K18">
        <v>25</v>
      </c>
      <c r="L18">
        <v>60</v>
      </c>
      <c r="M18">
        <v>100</v>
      </c>
    </row>
    <row r="19" spans="1:13" x14ac:dyDescent="0.25">
      <c r="A19" t="s">
        <v>34</v>
      </c>
      <c r="B19" t="s">
        <v>134</v>
      </c>
      <c r="C19" t="s">
        <v>142</v>
      </c>
      <c r="D19" t="s">
        <v>150</v>
      </c>
      <c r="E19">
        <v>60</v>
      </c>
      <c r="F19">
        <v>60</v>
      </c>
      <c r="G19">
        <v>60</v>
      </c>
      <c r="H19">
        <v>60</v>
      </c>
      <c r="I19">
        <v>25</v>
      </c>
      <c r="J19">
        <v>25</v>
      </c>
      <c r="K19">
        <v>25</v>
      </c>
      <c r="L19">
        <v>60</v>
      </c>
      <c r="M19">
        <v>100</v>
      </c>
    </row>
    <row r="20" spans="1:13" x14ac:dyDescent="0.25">
      <c r="A20" t="s">
        <v>34</v>
      </c>
      <c r="B20" t="s">
        <v>135</v>
      </c>
      <c r="C20" t="s">
        <v>141</v>
      </c>
      <c r="D20" t="s">
        <v>150</v>
      </c>
      <c r="E20">
        <v>25</v>
      </c>
      <c r="F20">
        <v>25</v>
      </c>
      <c r="G20">
        <v>25</v>
      </c>
      <c r="H20">
        <v>25</v>
      </c>
      <c r="I20">
        <v>75</v>
      </c>
      <c r="J20">
        <v>75</v>
      </c>
      <c r="K20">
        <v>75</v>
      </c>
      <c r="L20">
        <v>60</v>
      </c>
      <c r="M20">
        <v>100</v>
      </c>
    </row>
    <row r="21" spans="1:13" x14ac:dyDescent="0.25">
      <c r="A21" t="s">
        <v>34</v>
      </c>
      <c r="B21" t="s">
        <v>136</v>
      </c>
      <c r="C21" t="s">
        <v>141</v>
      </c>
      <c r="D21" t="s">
        <v>150</v>
      </c>
      <c r="E21">
        <v>25</v>
      </c>
      <c r="F21">
        <v>25</v>
      </c>
      <c r="G21">
        <v>25</v>
      </c>
      <c r="H21">
        <v>25</v>
      </c>
      <c r="I21">
        <v>75</v>
      </c>
      <c r="J21">
        <v>75</v>
      </c>
      <c r="K21">
        <v>75</v>
      </c>
      <c r="L21">
        <v>60</v>
      </c>
      <c r="M21">
        <v>100</v>
      </c>
    </row>
    <row r="22" spans="1:13" x14ac:dyDescent="0.25">
      <c r="A22" t="s">
        <v>34</v>
      </c>
      <c r="B22" t="s">
        <v>137</v>
      </c>
      <c r="C22" t="s">
        <v>141</v>
      </c>
      <c r="D22" t="s">
        <v>150</v>
      </c>
      <c r="E22">
        <v>25</v>
      </c>
      <c r="F22">
        <v>25</v>
      </c>
      <c r="G22">
        <v>25</v>
      </c>
      <c r="H22">
        <v>25</v>
      </c>
      <c r="I22">
        <v>75</v>
      </c>
      <c r="J22">
        <v>75</v>
      </c>
      <c r="K22">
        <v>75</v>
      </c>
      <c r="L22">
        <v>60</v>
      </c>
      <c r="M22">
        <v>100</v>
      </c>
    </row>
    <row r="23" spans="1:13" x14ac:dyDescent="0.25">
      <c r="A23" t="s">
        <v>34</v>
      </c>
      <c r="B23" t="s">
        <v>138</v>
      </c>
      <c r="C23" t="s">
        <v>141</v>
      </c>
      <c r="D23" t="s">
        <v>150</v>
      </c>
      <c r="E23">
        <v>25</v>
      </c>
      <c r="F23">
        <v>25</v>
      </c>
      <c r="G23">
        <v>25</v>
      </c>
      <c r="H23">
        <v>25</v>
      </c>
      <c r="I23">
        <v>75</v>
      </c>
      <c r="J23">
        <v>75</v>
      </c>
      <c r="K23">
        <v>75</v>
      </c>
      <c r="L23">
        <v>60</v>
      </c>
      <c r="M23">
        <v>100</v>
      </c>
    </row>
    <row r="24" spans="1:13" x14ac:dyDescent="0.25">
      <c r="A24" t="s">
        <v>34</v>
      </c>
      <c r="B24" t="s">
        <v>139</v>
      </c>
      <c r="C24" t="s">
        <v>141</v>
      </c>
      <c r="D24" t="s">
        <v>150</v>
      </c>
      <c r="E24">
        <v>25</v>
      </c>
      <c r="F24">
        <v>25</v>
      </c>
      <c r="G24">
        <v>25</v>
      </c>
      <c r="H24">
        <v>25</v>
      </c>
      <c r="I24">
        <v>75</v>
      </c>
      <c r="J24">
        <v>75</v>
      </c>
      <c r="K24">
        <v>75</v>
      </c>
      <c r="L24">
        <v>60</v>
      </c>
      <c r="M24">
        <v>100</v>
      </c>
    </row>
    <row r="25" spans="1:13" x14ac:dyDescent="0.25">
      <c r="A25" t="s">
        <v>34</v>
      </c>
      <c r="B25" t="s">
        <v>140</v>
      </c>
      <c r="C25" t="s">
        <v>141</v>
      </c>
      <c r="D25" t="s">
        <v>150</v>
      </c>
      <c r="E25">
        <v>25</v>
      </c>
      <c r="F25">
        <v>25</v>
      </c>
      <c r="G25">
        <v>25</v>
      </c>
      <c r="H25">
        <v>25</v>
      </c>
      <c r="I25">
        <v>75</v>
      </c>
      <c r="J25">
        <v>75</v>
      </c>
      <c r="K25">
        <v>75</v>
      </c>
      <c r="L25">
        <v>60</v>
      </c>
      <c r="M25">
        <v>100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3FC7-D16F-41AC-8F49-6978D7C3609F}">
  <dimension ref="A1:A26"/>
  <sheetViews>
    <sheetView workbookViewId="0">
      <selection activeCell="A28" sqref="A28"/>
    </sheetView>
  </sheetViews>
  <sheetFormatPr defaultRowHeight="15" x14ac:dyDescent="0.25"/>
  <cols>
    <col min="1" max="1" width="84.28515625" customWidth="1"/>
  </cols>
  <sheetData>
    <row r="1" spans="1:1" x14ac:dyDescent="0.25">
      <c r="A1" t="s">
        <v>87</v>
      </c>
    </row>
    <row r="2" spans="1:1" x14ac:dyDescent="0.25">
      <c r="A2" t="s">
        <v>88</v>
      </c>
    </row>
    <row r="3" spans="1:1" x14ac:dyDescent="0.25">
      <c r="A3" t="s">
        <v>89</v>
      </c>
    </row>
    <row r="4" spans="1:1" x14ac:dyDescent="0.25">
      <c r="A4" t="s">
        <v>90</v>
      </c>
    </row>
    <row r="6" spans="1:1" x14ac:dyDescent="0.25">
      <c r="A6" t="s">
        <v>91</v>
      </c>
    </row>
    <row r="7" spans="1:1" x14ac:dyDescent="0.25">
      <c r="A7" t="s">
        <v>99</v>
      </c>
    </row>
    <row r="8" spans="1:1" x14ac:dyDescent="0.25">
      <c r="A8" t="s">
        <v>92</v>
      </c>
    </row>
    <row r="9" spans="1:1" x14ac:dyDescent="0.25">
      <c r="A9" t="s">
        <v>93</v>
      </c>
    </row>
    <row r="10" spans="1:1" x14ac:dyDescent="0.25">
      <c r="A10" t="s">
        <v>94</v>
      </c>
    </row>
    <row r="11" spans="1:1" x14ac:dyDescent="0.25">
      <c r="A11" t="s">
        <v>95</v>
      </c>
    </row>
    <row r="12" spans="1:1" x14ac:dyDescent="0.25">
      <c r="A12" t="s">
        <v>96</v>
      </c>
    </row>
    <row r="13" spans="1:1" x14ac:dyDescent="0.25">
      <c r="A13" t="s">
        <v>97</v>
      </c>
    </row>
    <row r="15" spans="1:1" x14ac:dyDescent="0.25">
      <c r="A15" t="s">
        <v>98</v>
      </c>
    </row>
    <row r="16" spans="1:1" x14ac:dyDescent="0.25">
      <c r="A16" t="s">
        <v>100</v>
      </c>
    </row>
    <row r="18" spans="1:1" x14ac:dyDescent="0.25">
      <c r="A18" t="s">
        <v>102</v>
      </c>
    </row>
    <row r="19" spans="1:1" x14ac:dyDescent="0.25">
      <c r="A19" t="s">
        <v>101</v>
      </c>
    </row>
    <row r="20" spans="1:1" x14ac:dyDescent="0.25">
      <c r="A20" t="s">
        <v>103</v>
      </c>
    </row>
    <row r="22" spans="1:1" x14ac:dyDescent="0.25">
      <c r="A22" t="s">
        <v>104</v>
      </c>
    </row>
    <row r="23" spans="1:1" x14ac:dyDescent="0.25">
      <c r="A23" t="s">
        <v>105</v>
      </c>
    </row>
    <row r="24" spans="1:1" x14ac:dyDescent="0.25">
      <c r="A24" t="s">
        <v>106</v>
      </c>
    </row>
    <row r="25" spans="1:1" x14ac:dyDescent="0.25">
      <c r="A25" t="s">
        <v>107</v>
      </c>
    </row>
    <row r="26" spans="1:1" x14ac:dyDescent="0.25">
      <c r="A26" t="s">
        <v>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2E508-D060-4D67-8151-FF9481584B6F}">
  <dimension ref="A1:B68"/>
  <sheetViews>
    <sheetView topLeftCell="A43" workbookViewId="0">
      <selection activeCell="D65" sqref="D65"/>
    </sheetView>
  </sheetViews>
  <sheetFormatPr defaultRowHeight="15" x14ac:dyDescent="0.25"/>
  <cols>
    <col min="1" max="1" width="34.7109375" customWidth="1"/>
  </cols>
  <sheetData>
    <row r="1" spans="1:2" x14ac:dyDescent="0.25">
      <c r="A1" s="2" t="s">
        <v>0</v>
      </c>
    </row>
    <row r="2" spans="1:2" x14ac:dyDescent="0.25">
      <c r="A2" t="s">
        <v>1</v>
      </c>
    </row>
    <row r="4" spans="1:2" x14ac:dyDescent="0.25">
      <c r="A4" s="1" t="s">
        <v>4</v>
      </c>
      <c r="B4" t="s">
        <v>65</v>
      </c>
    </row>
    <row r="5" spans="1:2" x14ac:dyDescent="0.25">
      <c r="A5" s="1" t="s">
        <v>5</v>
      </c>
      <c r="B5" t="s">
        <v>11</v>
      </c>
    </row>
    <row r="6" spans="1:2" x14ac:dyDescent="0.25">
      <c r="A6" s="1" t="s">
        <v>8</v>
      </c>
      <c r="B6" t="s">
        <v>64</v>
      </c>
    </row>
    <row r="7" spans="1:2" x14ac:dyDescent="0.25">
      <c r="A7" s="1" t="s">
        <v>62</v>
      </c>
      <c r="B7" t="s">
        <v>63</v>
      </c>
    </row>
    <row r="8" spans="1:2" x14ac:dyDescent="0.25">
      <c r="A8" s="1" t="s">
        <v>3</v>
      </c>
      <c r="B8" t="s">
        <v>61</v>
      </c>
    </row>
    <row r="9" spans="1:2" x14ac:dyDescent="0.25">
      <c r="A9" s="1" t="s">
        <v>9</v>
      </c>
      <c r="B9" t="s">
        <v>6</v>
      </c>
    </row>
    <row r="10" spans="1:2" x14ac:dyDescent="0.25">
      <c r="A10" s="1" t="s">
        <v>60</v>
      </c>
      <c r="B10" t="s">
        <v>7</v>
      </c>
    </row>
    <row r="11" spans="1:2" x14ac:dyDescent="0.25">
      <c r="A11" s="1" t="s">
        <v>66</v>
      </c>
      <c r="B11" t="s">
        <v>67</v>
      </c>
    </row>
    <row r="14" spans="1:2" x14ac:dyDescent="0.25">
      <c r="A14" t="s">
        <v>10</v>
      </c>
    </row>
    <row r="15" spans="1:2" x14ac:dyDescent="0.25">
      <c r="A15" t="s">
        <v>4</v>
      </c>
    </row>
    <row r="16" spans="1:2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4" spans="1:1" x14ac:dyDescent="0.25">
      <c r="A24" t="s">
        <v>5</v>
      </c>
    </row>
    <row r="25" spans="1:1" x14ac:dyDescent="0.25">
      <c r="A25" t="s">
        <v>17</v>
      </c>
    </row>
    <row r="26" spans="1:1" x14ac:dyDescent="0.25">
      <c r="A26" t="s">
        <v>18</v>
      </c>
    </row>
    <row r="27" spans="1:1" x14ac:dyDescent="0.25">
      <c r="A27" t="s">
        <v>19</v>
      </c>
    </row>
    <row r="28" spans="1:1" x14ac:dyDescent="0.25">
      <c r="A28" t="s">
        <v>20</v>
      </c>
    </row>
    <row r="31" spans="1:1" x14ac:dyDescent="0.25">
      <c r="A31" t="s">
        <v>21</v>
      </c>
    </row>
    <row r="32" spans="1:1" x14ac:dyDescent="0.25">
      <c r="A32" t="s">
        <v>22</v>
      </c>
    </row>
    <row r="33" spans="1:1" x14ac:dyDescent="0.25">
      <c r="A33" t="s">
        <v>3</v>
      </c>
    </row>
    <row r="34" spans="1:1" x14ac:dyDescent="0.25">
      <c r="A34" t="s">
        <v>23</v>
      </c>
    </row>
    <row r="35" spans="1:1" x14ac:dyDescent="0.25">
      <c r="A35" t="s">
        <v>24</v>
      </c>
    </row>
    <row r="36" spans="1:1" x14ac:dyDescent="0.25">
      <c r="A36" t="s">
        <v>25</v>
      </c>
    </row>
    <row r="37" spans="1:1" x14ac:dyDescent="0.25">
      <c r="A37" t="s">
        <v>27</v>
      </c>
    </row>
    <row r="38" spans="1:1" x14ac:dyDescent="0.25">
      <c r="A38" t="s">
        <v>26</v>
      </c>
    </row>
    <row r="40" spans="1:1" x14ac:dyDescent="0.25">
      <c r="A40" t="s">
        <v>3</v>
      </c>
    </row>
    <row r="41" spans="1:1" x14ac:dyDescent="0.25">
      <c r="A41" t="s">
        <v>28</v>
      </c>
    </row>
    <row r="42" spans="1:1" x14ac:dyDescent="0.25">
      <c r="A42" t="s">
        <v>29</v>
      </c>
    </row>
    <row r="43" spans="1:1" x14ac:dyDescent="0.25">
      <c r="A43" t="s">
        <v>30</v>
      </c>
    </row>
    <row r="46" spans="1:1" x14ac:dyDescent="0.25">
      <c r="A46" t="s">
        <v>9</v>
      </c>
    </row>
    <row r="47" spans="1:1" x14ac:dyDescent="0.25">
      <c r="A47" t="s">
        <v>31</v>
      </c>
    </row>
    <row r="48" spans="1:1" x14ac:dyDescent="0.25">
      <c r="A48" t="s">
        <v>32</v>
      </c>
    </row>
    <row r="49" spans="1:1" x14ac:dyDescent="0.25">
      <c r="A49" t="s">
        <v>45</v>
      </c>
    </row>
    <row r="52" spans="1:1" x14ac:dyDescent="0.25">
      <c r="A52" t="s">
        <v>46</v>
      </c>
    </row>
    <row r="53" spans="1:1" x14ac:dyDescent="0.25">
      <c r="A53" t="s">
        <v>47</v>
      </c>
    </row>
    <row r="54" spans="1:1" x14ac:dyDescent="0.25">
      <c r="A54" t="s">
        <v>48</v>
      </c>
    </row>
    <row r="57" spans="1:1" x14ac:dyDescent="0.25">
      <c r="A57" t="s">
        <v>49</v>
      </c>
    </row>
    <row r="58" spans="1:1" x14ac:dyDescent="0.25">
      <c r="A58" t="s">
        <v>50</v>
      </c>
    </row>
    <row r="59" spans="1:1" x14ac:dyDescent="0.25">
      <c r="A59" t="s">
        <v>51</v>
      </c>
    </row>
    <row r="62" spans="1:1" x14ac:dyDescent="0.25">
      <c r="A62" t="s">
        <v>52</v>
      </c>
    </row>
    <row r="63" spans="1:1" x14ac:dyDescent="0.25">
      <c r="A63" t="s">
        <v>53</v>
      </c>
    </row>
    <row r="64" spans="1:1" x14ac:dyDescent="0.25">
      <c r="A64" t="s">
        <v>54</v>
      </c>
    </row>
    <row r="65" spans="1:1" x14ac:dyDescent="0.25">
      <c r="A65" t="s">
        <v>55</v>
      </c>
    </row>
    <row r="67" spans="1:1" x14ac:dyDescent="0.25">
      <c r="A67" t="s">
        <v>56</v>
      </c>
    </row>
    <row r="68" spans="1:1" x14ac:dyDescent="0.25">
      <c r="A68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90841-14B2-4990-B06F-14A1A455D812}">
  <dimension ref="A1:X12"/>
  <sheetViews>
    <sheetView workbookViewId="0">
      <selection activeCell="O17" sqref="O17"/>
    </sheetView>
  </sheetViews>
  <sheetFormatPr defaultRowHeight="15" x14ac:dyDescent="0.25"/>
  <cols>
    <col min="1" max="1" width="18.28515625" customWidth="1"/>
    <col min="2" max="2" width="11" bestFit="1" customWidth="1"/>
    <col min="3" max="11" width="3.5703125" customWidth="1"/>
    <col min="14" max="14" width="18.140625" customWidth="1"/>
    <col min="15" max="15" width="12" customWidth="1"/>
    <col min="16" max="24" width="3.5703125" customWidth="1"/>
  </cols>
  <sheetData>
    <row r="1" spans="1:24" x14ac:dyDescent="0.25">
      <c r="A1" t="s">
        <v>33</v>
      </c>
      <c r="B1" t="s">
        <v>33</v>
      </c>
      <c r="N1" t="s">
        <v>34</v>
      </c>
      <c r="O1" t="s">
        <v>34</v>
      </c>
    </row>
    <row r="3" spans="1:24" x14ac:dyDescent="0.25">
      <c r="A3" t="s">
        <v>2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N3" t="s">
        <v>2</v>
      </c>
      <c r="O3" t="s">
        <v>35</v>
      </c>
      <c r="P3" t="s">
        <v>36</v>
      </c>
      <c r="Q3" t="s">
        <v>37</v>
      </c>
      <c r="R3" t="s">
        <v>38</v>
      </c>
      <c r="S3" t="s">
        <v>39</v>
      </c>
      <c r="T3" t="s">
        <v>40</v>
      </c>
      <c r="U3" t="s">
        <v>41</v>
      </c>
      <c r="V3" t="s">
        <v>42</v>
      </c>
      <c r="W3" t="s">
        <v>43</v>
      </c>
      <c r="X3" t="s">
        <v>44</v>
      </c>
    </row>
    <row r="4" spans="1:24" x14ac:dyDescent="0.25">
      <c r="A4" t="s">
        <v>68</v>
      </c>
      <c r="N4" t="s">
        <v>77</v>
      </c>
    </row>
    <row r="5" spans="1:24" x14ac:dyDescent="0.25">
      <c r="A5" t="s">
        <v>69</v>
      </c>
      <c r="N5" t="s">
        <v>78</v>
      </c>
    </row>
    <row r="6" spans="1:24" x14ac:dyDescent="0.25">
      <c r="A6" t="s">
        <v>70</v>
      </c>
      <c r="N6" t="s">
        <v>79</v>
      </c>
    </row>
    <row r="7" spans="1:24" x14ac:dyDescent="0.25">
      <c r="A7" t="s">
        <v>71</v>
      </c>
      <c r="N7" t="s">
        <v>80</v>
      </c>
    </row>
    <row r="8" spans="1:24" x14ac:dyDescent="0.25">
      <c r="A8" t="s">
        <v>72</v>
      </c>
      <c r="N8" t="s">
        <v>81</v>
      </c>
    </row>
    <row r="9" spans="1:24" x14ac:dyDescent="0.25">
      <c r="A9" t="s">
        <v>73</v>
      </c>
      <c r="N9" t="s">
        <v>82</v>
      </c>
    </row>
    <row r="10" spans="1:24" x14ac:dyDescent="0.25">
      <c r="A10" t="s">
        <v>74</v>
      </c>
      <c r="N10" t="s">
        <v>83</v>
      </c>
    </row>
    <row r="11" spans="1:24" x14ac:dyDescent="0.25">
      <c r="A11" t="s">
        <v>75</v>
      </c>
      <c r="N11" t="s">
        <v>84</v>
      </c>
    </row>
    <row r="12" spans="1:24" x14ac:dyDescent="0.25">
      <c r="A12" t="s">
        <v>76</v>
      </c>
      <c r="N12" t="s">
        <v>85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29A4C-D628-4EA7-B35F-E609FAE01C71}">
  <dimension ref="A1:C52"/>
  <sheetViews>
    <sheetView topLeftCell="A4" workbookViewId="0">
      <selection activeCell="B21" sqref="B21"/>
    </sheetView>
  </sheetViews>
  <sheetFormatPr defaultRowHeight="15" x14ac:dyDescent="0.25"/>
  <cols>
    <col min="2" max="2" width="13.5703125" customWidth="1"/>
    <col min="7" max="7" width="13.140625" customWidth="1"/>
  </cols>
  <sheetData>
    <row r="1" spans="1:3" x14ac:dyDescent="0.25">
      <c r="A1" s="3" t="s">
        <v>58</v>
      </c>
      <c r="B1" s="3" t="s">
        <v>86</v>
      </c>
      <c r="C1" s="3" t="s">
        <v>59</v>
      </c>
    </row>
    <row r="2" spans="1:3" x14ac:dyDescent="0.25">
      <c r="A2">
        <v>50</v>
      </c>
      <c r="B2" s="4">
        <v>1.01</v>
      </c>
      <c r="C2">
        <v>50</v>
      </c>
    </row>
    <row r="3" spans="1:3" x14ac:dyDescent="0.25">
      <c r="A3">
        <v>51</v>
      </c>
      <c r="B3" s="4">
        <v>1.01</v>
      </c>
      <c r="C3">
        <f>(C2*B2) + B2</f>
        <v>51.51</v>
      </c>
    </row>
    <row r="4" spans="1:3" x14ac:dyDescent="0.25">
      <c r="A4">
        <v>52</v>
      </c>
      <c r="B4" s="4">
        <v>1.01</v>
      </c>
      <c r="C4">
        <f t="shared" ref="C4:C52" si="0">(C3*B3) + B3</f>
        <v>53.0351</v>
      </c>
    </row>
    <row r="5" spans="1:3" x14ac:dyDescent="0.25">
      <c r="A5">
        <v>53</v>
      </c>
      <c r="B5" s="4">
        <v>1.01</v>
      </c>
      <c r="C5">
        <f t="shared" si="0"/>
        <v>54.575451000000001</v>
      </c>
    </row>
    <row r="6" spans="1:3" x14ac:dyDescent="0.25">
      <c r="A6">
        <v>54</v>
      </c>
      <c r="B6" s="4">
        <v>1.01</v>
      </c>
      <c r="C6">
        <f t="shared" si="0"/>
        <v>56.131205510000001</v>
      </c>
    </row>
    <row r="7" spans="1:3" x14ac:dyDescent="0.25">
      <c r="A7">
        <v>55</v>
      </c>
      <c r="B7" s="4">
        <v>1.01</v>
      </c>
      <c r="C7">
        <f t="shared" si="0"/>
        <v>57.702517565100003</v>
      </c>
    </row>
    <row r="8" spans="1:3" x14ac:dyDescent="0.25">
      <c r="A8">
        <v>56</v>
      </c>
      <c r="B8" s="4">
        <v>1.01</v>
      </c>
      <c r="C8">
        <f t="shared" si="0"/>
        <v>59.289542740751003</v>
      </c>
    </row>
    <row r="9" spans="1:3" x14ac:dyDescent="0.25">
      <c r="A9">
        <v>57</v>
      </c>
      <c r="B9" s="4">
        <v>1.01</v>
      </c>
      <c r="C9">
        <f t="shared" si="0"/>
        <v>60.892438168158513</v>
      </c>
    </row>
    <row r="10" spans="1:3" x14ac:dyDescent="0.25">
      <c r="A10">
        <v>58</v>
      </c>
      <c r="B10" s="4">
        <v>1.01</v>
      </c>
      <c r="C10">
        <f t="shared" si="0"/>
        <v>62.511362549840094</v>
      </c>
    </row>
    <row r="11" spans="1:3" x14ac:dyDescent="0.25">
      <c r="A11">
        <v>59</v>
      </c>
      <c r="B11" s="4">
        <v>1.01</v>
      </c>
      <c r="C11">
        <f t="shared" si="0"/>
        <v>64.146476175338492</v>
      </c>
    </row>
    <row r="12" spans="1:3" x14ac:dyDescent="0.25">
      <c r="A12">
        <v>60</v>
      </c>
      <c r="B12">
        <v>1.0109999999999999</v>
      </c>
      <c r="C12">
        <f t="shared" si="0"/>
        <v>65.79794093709188</v>
      </c>
    </row>
    <row r="13" spans="1:3" x14ac:dyDescent="0.25">
      <c r="A13">
        <v>61</v>
      </c>
      <c r="B13">
        <v>1.0109999999999999</v>
      </c>
      <c r="C13">
        <f t="shared" si="0"/>
        <v>67.532718287399874</v>
      </c>
    </row>
    <row r="14" spans="1:3" x14ac:dyDescent="0.25">
      <c r="A14">
        <v>62</v>
      </c>
      <c r="B14">
        <v>1.0109999999999999</v>
      </c>
      <c r="C14">
        <f t="shared" si="0"/>
        <v>69.286578188561265</v>
      </c>
    </row>
    <row r="15" spans="1:3" x14ac:dyDescent="0.25">
      <c r="A15">
        <v>63</v>
      </c>
      <c r="B15">
        <v>1.0109999999999999</v>
      </c>
      <c r="C15">
        <f t="shared" si="0"/>
        <v>71.059730548635429</v>
      </c>
    </row>
    <row r="16" spans="1:3" x14ac:dyDescent="0.25">
      <c r="A16">
        <v>64</v>
      </c>
      <c r="B16">
        <v>1.0109999999999999</v>
      </c>
      <c r="C16">
        <f t="shared" si="0"/>
        <v>72.85238758467041</v>
      </c>
    </row>
    <row r="17" spans="1:3" x14ac:dyDescent="0.25">
      <c r="A17">
        <v>65</v>
      </c>
      <c r="B17">
        <v>1.0109999999999999</v>
      </c>
      <c r="C17">
        <f t="shared" si="0"/>
        <v>74.664763848101771</v>
      </c>
    </row>
    <row r="18" spans="1:3" x14ac:dyDescent="0.25">
      <c r="A18">
        <v>66</v>
      </c>
      <c r="B18">
        <v>1.0109999999999999</v>
      </c>
      <c r="C18">
        <f t="shared" si="0"/>
        <v>76.497076250430879</v>
      </c>
    </row>
    <row r="19" spans="1:3" x14ac:dyDescent="0.25">
      <c r="A19">
        <v>67</v>
      </c>
      <c r="B19">
        <v>1.0109999999999999</v>
      </c>
      <c r="C19">
        <f t="shared" si="0"/>
        <v>78.349544089185613</v>
      </c>
    </row>
    <row r="20" spans="1:3" x14ac:dyDescent="0.25">
      <c r="A20">
        <v>68</v>
      </c>
      <c r="B20">
        <v>1.0109999999999999</v>
      </c>
      <c r="C20">
        <f t="shared" si="0"/>
        <v>80.222389074166642</v>
      </c>
    </row>
    <row r="21" spans="1:3" x14ac:dyDescent="0.25">
      <c r="A21">
        <v>69</v>
      </c>
      <c r="B21">
        <v>1.0109999999999999</v>
      </c>
      <c r="C21">
        <f t="shared" si="0"/>
        <v>82.115835353982462</v>
      </c>
    </row>
    <row r="22" spans="1:3" x14ac:dyDescent="0.25">
      <c r="A22">
        <v>70</v>
      </c>
      <c r="B22">
        <v>1.0129999999999999</v>
      </c>
      <c r="C22">
        <f t="shared" si="0"/>
        <v>84.030109542876261</v>
      </c>
    </row>
    <row r="23" spans="1:3" x14ac:dyDescent="0.25">
      <c r="A23">
        <v>71</v>
      </c>
      <c r="B23">
        <v>1.0129999999999999</v>
      </c>
      <c r="C23">
        <f t="shared" si="0"/>
        <v>86.135500966933648</v>
      </c>
    </row>
    <row r="24" spans="1:3" x14ac:dyDescent="0.25">
      <c r="A24">
        <v>72</v>
      </c>
      <c r="B24">
        <v>1.0129999999999999</v>
      </c>
      <c r="C24">
        <f t="shared" si="0"/>
        <v>88.268262479503775</v>
      </c>
    </row>
    <row r="25" spans="1:3" x14ac:dyDescent="0.25">
      <c r="A25">
        <v>73</v>
      </c>
      <c r="B25">
        <v>1.0129999999999999</v>
      </c>
      <c r="C25">
        <f t="shared" si="0"/>
        <v>90.428749891737326</v>
      </c>
    </row>
    <row r="26" spans="1:3" x14ac:dyDescent="0.25">
      <c r="A26">
        <v>74</v>
      </c>
      <c r="B26">
        <v>1.0129999999999999</v>
      </c>
      <c r="C26">
        <f t="shared" si="0"/>
        <v>92.6173236403299</v>
      </c>
    </row>
    <row r="27" spans="1:3" x14ac:dyDescent="0.25">
      <c r="A27">
        <v>75</v>
      </c>
      <c r="B27">
        <v>1.0129999999999999</v>
      </c>
      <c r="C27">
        <f t="shared" si="0"/>
        <v>94.834348847654184</v>
      </c>
    </row>
    <row r="28" spans="1:3" x14ac:dyDescent="0.25">
      <c r="A28">
        <v>76</v>
      </c>
      <c r="B28">
        <v>1.0129999999999999</v>
      </c>
      <c r="C28">
        <f t="shared" si="0"/>
        <v>97.080195382673679</v>
      </c>
    </row>
    <row r="29" spans="1:3" x14ac:dyDescent="0.25">
      <c r="A29">
        <v>77</v>
      </c>
      <c r="B29">
        <v>1.0129999999999999</v>
      </c>
      <c r="C29">
        <f t="shared" si="0"/>
        <v>99.355237922648428</v>
      </c>
    </row>
    <row r="30" spans="1:3" x14ac:dyDescent="0.25">
      <c r="A30">
        <v>78</v>
      </c>
      <c r="B30">
        <v>1.0129999999999999</v>
      </c>
      <c r="C30">
        <f t="shared" si="0"/>
        <v>101.65985601564286</v>
      </c>
    </row>
    <row r="31" spans="1:3" x14ac:dyDescent="0.25">
      <c r="A31">
        <v>79</v>
      </c>
      <c r="B31">
        <v>1.0129999999999999</v>
      </c>
      <c r="C31">
        <f t="shared" si="0"/>
        <v>103.99443414384621</v>
      </c>
    </row>
    <row r="32" spans="1:3" x14ac:dyDescent="0.25">
      <c r="A32">
        <v>80</v>
      </c>
      <c r="B32">
        <v>1.014</v>
      </c>
      <c r="C32">
        <f t="shared" si="0"/>
        <v>106.3593617877162</v>
      </c>
    </row>
    <row r="33" spans="1:3" x14ac:dyDescent="0.25">
      <c r="A33">
        <v>81</v>
      </c>
      <c r="B33">
        <v>1.014</v>
      </c>
      <c r="C33">
        <f t="shared" si="0"/>
        <v>108.86239285274422</v>
      </c>
    </row>
    <row r="34" spans="1:3" x14ac:dyDescent="0.25">
      <c r="A34">
        <v>82</v>
      </c>
      <c r="B34">
        <v>1.014</v>
      </c>
      <c r="C34">
        <f t="shared" si="0"/>
        <v>111.40046635268264</v>
      </c>
    </row>
    <row r="35" spans="1:3" x14ac:dyDescent="0.25">
      <c r="A35">
        <v>83</v>
      </c>
      <c r="B35">
        <v>1.014</v>
      </c>
      <c r="C35">
        <f t="shared" si="0"/>
        <v>113.9740728816202</v>
      </c>
    </row>
    <row r="36" spans="1:3" x14ac:dyDescent="0.25">
      <c r="A36">
        <v>84</v>
      </c>
      <c r="B36">
        <v>1.014</v>
      </c>
      <c r="C36">
        <f t="shared" si="0"/>
        <v>116.58370990196288</v>
      </c>
    </row>
    <row r="37" spans="1:3" x14ac:dyDescent="0.25">
      <c r="A37">
        <v>85</v>
      </c>
      <c r="B37">
        <v>1.014</v>
      </c>
      <c r="C37">
        <f t="shared" si="0"/>
        <v>119.22988184059035</v>
      </c>
    </row>
    <row r="38" spans="1:3" x14ac:dyDescent="0.25">
      <c r="A38">
        <v>86</v>
      </c>
      <c r="B38">
        <v>1.014</v>
      </c>
      <c r="C38">
        <f t="shared" si="0"/>
        <v>121.91310018635862</v>
      </c>
    </row>
    <row r="39" spans="1:3" x14ac:dyDescent="0.25">
      <c r="A39">
        <v>87</v>
      </c>
      <c r="B39">
        <v>1.014</v>
      </c>
      <c r="C39">
        <f t="shared" si="0"/>
        <v>124.63388358896763</v>
      </c>
    </row>
    <row r="40" spans="1:3" x14ac:dyDescent="0.25">
      <c r="A40">
        <v>88</v>
      </c>
      <c r="B40">
        <v>1.014</v>
      </c>
      <c r="C40">
        <f t="shared" si="0"/>
        <v>127.39275795921318</v>
      </c>
    </row>
    <row r="41" spans="1:3" x14ac:dyDescent="0.25">
      <c r="A41">
        <v>89</v>
      </c>
      <c r="B41">
        <v>1.014</v>
      </c>
      <c r="C41">
        <f t="shared" si="0"/>
        <v>130.19025657064219</v>
      </c>
    </row>
    <row r="42" spans="1:3" x14ac:dyDescent="0.25">
      <c r="A42">
        <v>90</v>
      </c>
      <c r="B42">
        <v>1.0149999999999999</v>
      </c>
      <c r="C42">
        <f t="shared" si="0"/>
        <v>133.0269201626312</v>
      </c>
    </row>
    <row r="43" spans="1:3" x14ac:dyDescent="0.25">
      <c r="A43">
        <v>91</v>
      </c>
      <c r="B43">
        <v>1.0149999999999999</v>
      </c>
      <c r="C43">
        <f t="shared" si="0"/>
        <v>136.03732396507064</v>
      </c>
    </row>
    <row r="44" spans="1:3" x14ac:dyDescent="0.25">
      <c r="A44">
        <v>92</v>
      </c>
      <c r="B44">
        <v>1.0149999999999999</v>
      </c>
      <c r="C44">
        <f t="shared" si="0"/>
        <v>139.09288382454667</v>
      </c>
    </row>
    <row r="45" spans="1:3" x14ac:dyDescent="0.25">
      <c r="A45">
        <v>93</v>
      </c>
      <c r="B45">
        <v>1.0149999999999999</v>
      </c>
      <c r="C45">
        <f t="shared" si="0"/>
        <v>142.19427708191486</v>
      </c>
    </row>
    <row r="46" spans="1:3" x14ac:dyDescent="0.25">
      <c r="A46">
        <v>94</v>
      </c>
      <c r="B46">
        <v>1.0149999999999999</v>
      </c>
      <c r="C46">
        <f t="shared" si="0"/>
        <v>145.34219123814356</v>
      </c>
    </row>
    <row r="47" spans="1:3" x14ac:dyDescent="0.25">
      <c r="A47">
        <v>95</v>
      </c>
      <c r="B47">
        <v>1.0149999999999999</v>
      </c>
      <c r="C47">
        <f t="shared" si="0"/>
        <v>148.53732410671569</v>
      </c>
    </row>
    <row r="48" spans="1:3" x14ac:dyDescent="0.25">
      <c r="A48">
        <v>96</v>
      </c>
      <c r="B48">
        <v>1.0149999999999999</v>
      </c>
      <c r="C48">
        <f t="shared" si="0"/>
        <v>151.78038396831639</v>
      </c>
    </row>
    <row r="49" spans="1:3" x14ac:dyDescent="0.25">
      <c r="A49">
        <v>97</v>
      </c>
      <c r="B49">
        <v>1.0149999999999999</v>
      </c>
      <c r="C49">
        <f t="shared" si="0"/>
        <v>155.0720897278411</v>
      </c>
    </row>
    <row r="50" spans="1:3" x14ac:dyDescent="0.25">
      <c r="A50">
        <v>98</v>
      </c>
      <c r="B50">
        <v>1.0149999999999999</v>
      </c>
      <c r="C50">
        <f t="shared" si="0"/>
        <v>158.41317107375869</v>
      </c>
    </row>
    <row r="51" spans="1:3" x14ac:dyDescent="0.25">
      <c r="A51">
        <v>99</v>
      </c>
      <c r="B51">
        <v>1.0149999999999999</v>
      </c>
      <c r="C51">
        <f t="shared" si="0"/>
        <v>161.80436863986503</v>
      </c>
    </row>
    <row r="52" spans="1:3" x14ac:dyDescent="0.25">
      <c r="A52">
        <v>100</v>
      </c>
      <c r="B52" s="4"/>
      <c r="C52">
        <f t="shared" si="0"/>
        <v>165.24643416946299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BDD00-A563-4C43-AB0F-1F80828FCE28}">
  <dimension ref="A1:B3"/>
  <sheetViews>
    <sheetView workbookViewId="0">
      <selection activeCell="B7" sqref="B7"/>
    </sheetView>
  </sheetViews>
  <sheetFormatPr defaultRowHeight="15" x14ac:dyDescent="0.25"/>
  <cols>
    <col min="2" max="2" width="17.5703125" bestFit="1" customWidth="1"/>
  </cols>
  <sheetData>
    <row r="1" spans="1:2" x14ac:dyDescent="0.25">
      <c r="A1" t="s">
        <v>175</v>
      </c>
      <c r="B1" t="s">
        <v>177</v>
      </c>
    </row>
    <row r="2" spans="1:2" x14ac:dyDescent="0.25">
      <c r="A2">
        <v>1</v>
      </c>
      <c r="B2" t="s">
        <v>223</v>
      </c>
    </row>
    <row r="3" spans="1:2" x14ac:dyDescent="0.25">
      <c r="A3">
        <v>2</v>
      </c>
      <c r="B3" t="s">
        <v>224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0965-6D74-43B1-A494-BCC9344469E3}">
  <dimension ref="A1:C2"/>
  <sheetViews>
    <sheetView workbookViewId="0">
      <selection activeCell="D6" sqref="D6"/>
    </sheetView>
  </sheetViews>
  <sheetFormatPr defaultRowHeight="15" x14ac:dyDescent="0.25"/>
  <cols>
    <col min="2" max="2" width="9.85546875" customWidth="1"/>
    <col min="3" max="3" width="12.85546875" bestFit="1" customWidth="1"/>
  </cols>
  <sheetData>
    <row r="1" spans="1:3" x14ac:dyDescent="0.25">
      <c r="A1" t="s">
        <v>175</v>
      </c>
      <c r="B1" t="s">
        <v>176</v>
      </c>
      <c r="C1" t="s">
        <v>178</v>
      </c>
    </row>
    <row r="2" spans="1:3" x14ac:dyDescent="0.25">
      <c r="A2">
        <v>1</v>
      </c>
      <c r="B2">
        <v>1</v>
      </c>
      <c r="C2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F845-B91B-4A31-971A-CB4D68E1A620}">
  <dimension ref="A1:O5"/>
  <sheetViews>
    <sheetView workbookViewId="0">
      <selection activeCell="B2" sqref="B2"/>
    </sheetView>
  </sheetViews>
  <sheetFormatPr defaultRowHeight="15" x14ac:dyDescent="0.25"/>
  <cols>
    <col min="1" max="1" width="9.85546875" customWidth="1"/>
    <col min="2" max="2" width="9.7109375" customWidth="1"/>
    <col min="3" max="3" width="12.28515625" customWidth="1"/>
    <col min="4" max="4" width="15.5703125" customWidth="1"/>
    <col min="5" max="6" width="15.42578125" customWidth="1"/>
    <col min="7" max="7" width="12" bestFit="1" customWidth="1"/>
    <col min="8" max="8" width="21.140625" customWidth="1"/>
    <col min="9" max="10" width="21.140625" bestFit="1" customWidth="1"/>
    <col min="11" max="15" width="7.5703125" bestFit="1" customWidth="1"/>
  </cols>
  <sheetData>
    <row r="1" spans="1:15" s="7" customFormat="1" x14ac:dyDescent="0.25">
      <c r="A1" s="7" t="s">
        <v>199</v>
      </c>
      <c r="B1" s="7" t="s">
        <v>157</v>
      </c>
      <c r="C1" s="7" t="s">
        <v>158</v>
      </c>
      <c r="D1" s="7" t="s">
        <v>159</v>
      </c>
      <c r="E1" s="7" t="s">
        <v>202</v>
      </c>
      <c r="F1" s="7" t="s">
        <v>203</v>
      </c>
      <c r="G1" s="7" t="s">
        <v>171</v>
      </c>
      <c r="H1" s="7" t="s">
        <v>214</v>
      </c>
      <c r="I1" s="7" t="s">
        <v>215</v>
      </c>
      <c r="J1" s="7" t="s">
        <v>216</v>
      </c>
      <c r="K1" s="7" t="s">
        <v>217</v>
      </c>
      <c r="L1" s="7" t="s">
        <v>218</v>
      </c>
      <c r="M1" s="7" t="s">
        <v>219</v>
      </c>
      <c r="N1" s="7" t="s">
        <v>220</v>
      </c>
      <c r="O1" s="7" t="s">
        <v>221</v>
      </c>
    </row>
    <row r="2" spans="1:15" x14ac:dyDescent="0.25">
      <c r="A2">
        <v>1</v>
      </c>
      <c r="B2">
        <v>11</v>
      </c>
      <c r="C2" t="s">
        <v>200</v>
      </c>
      <c r="D2" t="s">
        <v>201</v>
      </c>
      <c r="E2" t="s">
        <v>210</v>
      </c>
      <c r="F2" s="6">
        <v>100000000</v>
      </c>
    </row>
    <row r="3" spans="1:15" x14ac:dyDescent="0.25">
      <c r="A3">
        <v>1</v>
      </c>
      <c r="B3">
        <v>12</v>
      </c>
      <c r="C3" t="s">
        <v>204</v>
      </c>
      <c r="D3" t="s">
        <v>205</v>
      </c>
      <c r="E3" t="s">
        <v>206</v>
      </c>
      <c r="F3" s="6">
        <v>100000000</v>
      </c>
    </row>
    <row r="4" spans="1:15" x14ac:dyDescent="0.25">
      <c r="A4">
        <v>1</v>
      </c>
      <c r="B4">
        <v>13</v>
      </c>
      <c r="C4" t="s">
        <v>207</v>
      </c>
      <c r="D4" t="s">
        <v>208</v>
      </c>
      <c r="E4" t="s">
        <v>209</v>
      </c>
      <c r="F4" s="6">
        <v>100000000</v>
      </c>
    </row>
    <row r="5" spans="1:15" x14ac:dyDescent="0.25">
      <c r="A5">
        <v>1</v>
      </c>
      <c r="B5">
        <v>14</v>
      </c>
      <c r="C5" t="s">
        <v>211</v>
      </c>
      <c r="D5" t="s">
        <v>212</v>
      </c>
      <c r="E5" t="s">
        <v>213</v>
      </c>
      <c r="F5" s="6">
        <v>100000000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3EF1F-0BC9-4251-B06B-AA39CEFE5D70}">
  <dimension ref="A1:I1"/>
  <sheetViews>
    <sheetView workbookViewId="0">
      <selection activeCell="B2" sqref="B2"/>
    </sheetView>
  </sheetViews>
  <sheetFormatPr defaultRowHeight="15" x14ac:dyDescent="0.25"/>
  <cols>
    <col min="3" max="3" width="9.7109375" bestFit="1" customWidth="1"/>
    <col min="4" max="4" width="12.28515625" bestFit="1" customWidth="1"/>
    <col min="5" max="5" width="14" bestFit="1" customWidth="1"/>
    <col min="6" max="6" width="12.28515625" bestFit="1" customWidth="1"/>
    <col min="7" max="7" width="15" bestFit="1" customWidth="1"/>
    <col min="8" max="8" width="11.28515625" bestFit="1" customWidth="1"/>
    <col min="9" max="9" width="11.42578125" customWidth="1"/>
  </cols>
  <sheetData>
    <row r="1" spans="1:9" x14ac:dyDescent="0.25">
      <c r="A1" t="s">
        <v>157</v>
      </c>
      <c r="B1" t="s">
        <v>175</v>
      </c>
      <c r="C1" t="s">
        <v>160</v>
      </c>
      <c r="D1" t="s">
        <v>161</v>
      </c>
      <c r="E1" t="s">
        <v>162</v>
      </c>
      <c r="F1" t="s">
        <v>168</v>
      </c>
      <c r="G1" t="s">
        <v>169</v>
      </c>
      <c r="H1" t="s">
        <v>167</v>
      </c>
      <c r="I1" t="s">
        <v>170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AC30-32D2-4DD7-AA66-F59A8553513D}">
  <dimension ref="A1:B13"/>
  <sheetViews>
    <sheetView workbookViewId="0">
      <selection activeCell="C7" sqref="C7"/>
    </sheetView>
  </sheetViews>
  <sheetFormatPr defaultRowHeight="15" x14ac:dyDescent="0.25"/>
  <cols>
    <col min="1" max="1" width="12.42578125" bestFit="1" customWidth="1"/>
    <col min="2" max="2" width="30.42578125" bestFit="1" customWidth="1"/>
  </cols>
  <sheetData>
    <row r="1" spans="1:2" x14ac:dyDescent="0.25">
      <c r="A1" t="s">
        <v>179</v>
      </c>
      <c r="B1" t="s">
        <v>180</v>
      </c>
    </row>
    <row r="2" spans="1:2" x14ac:dyDescent="0.25">
      <c r="A2" s="5">
        <v>1</v>
      </c>
      <c r="B2" t="s">
        <v>181</v>
      </c>
    </row>
    <row r="3" spans="1:2" x14ac:dyDescent="0.25">
      <c r="A3">
        <v>2</v>
      </c>
      <c r="B3" t="s">
        <v>182</v>
      </c>
    </row>
    <row r="4" spans="1:2" x14ac:dyDescent="0.25">
      <c r="A4">
        <v>3</v>
      </c>
      <c r="B4" t="s">
        <v>189</v>
      </c>
    </row>
    <row r="5" spans="1:2" x14ac:dyDescent="0.25">
      <c r="A5">
        <v>4</v>
      </c>
      <c r="B5" t="s">
        <v>190</v>
      </c>
    </row>
    <row r="6" spans="1:2" x14ac:dyDescent="0.25">
      <c r="A6">
        <v>5</v>
      </c>
      <c r="B6" t="s">
        <v>191</v>
      </c>
    </row>
    <row r="7" spans="1:2" x14ac:dyDescent="0.25">
      <c r="A7">
        <v>6</v>
      </c>
      <c r="B7" t="s">
        <v>192</v>
      </c>
    </row>
    <row r="8" spans="1:2" x14ac:dyDescent="0.25">
      <c r="A8">
        <v>7</v>
      </c>
      <c r="B8" t="s">
        <v>183</v>
      </c>
    </row>
    <row r="9" spans="1:2" x14ac:dyDescent="0.25">
      <c r="A9">
        <v>8</v>
      </c>
      <c r="B9" t="s">
        <v>184</v>
      </c>
    </row>
    <row r="10" spans="1:2" x14ac:dyDescent="0.25">
      <c r="A10">
        <v>9</v>
      </c>
      <c r="B10" t="s">
        <v>186</v>
      </c>
    </row>
    <row r="11" spans="1:2" x14ac:dyDescent="0.25">
      <c r="A11">
        <v>10</v>
      </c>
      <c r="B11" t="s">
        <v>187</v>
      </c>
    </row>
    <row r="12" spans="1:2" x14ac:dyDescent="0.25">
      <c r="A12">
        <v>11</v>
      </c>
      <c r="B12" t="s">
        <v>188</v>
      </c>
    </row>
    <row r="13" spans="1:2" x14ac:dyDescent="0.25">
      <c r="A13">
        <v>12</v>
      </c>
      <c r="B13" t="s">
        <v>185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178-F399-47D1-9EA9-E12BA7042C25}">
  <dimension ref="A1:H1"/>
  <sheetViews>
    <sheetView workbookViewId="0">
      <selection activeCell="A2" sqref="A2"/>
    </sheetView>
  </sheetViews>
  <sheetFormatPr defaultRowHeight="15" x14ac:dyDescent="0.25"/>
  <cols>
    <col min="1" max="1" width="10.28515625" customWidth="1"/>
    <col min="2" max="4" width="10.85546875" customWidth="1"/>
    <col min="5" max="5" width="13.85546875" bestFit="1" customWidth="1"/>
    <col min="6" max="6" width="15.28515625" bestFit="1" customWidth="1"/>
    <col min="7" max="7" width="11.42578125" bestFit="1" customWidth="1"/>
    <col min="8" max="8" width="12" bestFit="1" customWidth="1"/>
  </cols>
  <sheetData>
    <row r="1" spans="1:8" x14ac:dyDescent="0.25">
      <c r="A1" t="s">
        <v>163</v>
      </c>
      <c r="B1" t="s">
        <v>175</v>
      </c>
      <c r="C1" t="s">
        <v>160</v>
      </c>
      <c r="D1" t="s">
        <v>166</v>
      </c>
      <c r="E1" t="s">
        <v>172</v>
      </c>
      <c r="F1" t="s">
        <v>173</v>
      </c>
      <c r="G1" t="s">
        <v>164</v>
      </c>
      <c r="H1" t="s">
        <v>165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2F5A6-4E6B-4DCA-B53E-6B607E92981C}">
  <dimension ref="A1:AA25"/>
  <sheetViews>
    <sheetView tabSelected="1" workbookViewId="0">
      <selection activeCell="I10" sqref="I10"/>
    </sheetView>
  </sheetViews>
  <sheetFormatPr defaultRowHeight="15" x14ac:dyDescent="0.25"/>
  <cols>
    <col min="2" max="2" width="11.7109375" bestFit="1" customWidth="1"/>
    <col min="3" max="3" width="16.5703125" bestFit="1" customWidth="1"/>
    <col min="4" max="4" width="16.28515625" bestFit="1" customWidth="1"/>
    <col min="6" max="6" width="11.85546875" customWidth="1"/>
    <col min="7" max="7" width="11.85546875" bestFit="1" customWidth="1"/>
    <col min="9" max="9" width="13.140625" style="8" bestFit="1" customWidth="1"/>
    <col min="10" max="10" width="12.42578125" customWidth="1"/>
    <col min="11" max="11" width="8.85546875" customWidth="1"/>
    <col min="12" max="12" width="8.42578125" customWidth="1"/>
    <col min="13" max="13" width="9.7109375" customWidth="1"/>
    <col min="14" max="14" width="8.85546875" customWidth="1"/>
    <col min="15" max="15" width="9.85546875" customWidth="1"/>
    <col min="16" max="16" width="11.140625" customWidth="1"/>
    <col min="17" max="17" width="10.140625" customWidth="1"/>
    <col min="18" max="18" width="11.5703125" customWidth="1"/>
  </cols>
  <sheetData>
    <row r="1" spans="1:27" x14ac:dyDescent="0.25">
      <c r="A1" s="3" t="s">
        <v>174</v>
      </c>
      <c r="B1" s="3" t="s">
        <v>157</v>
      </c>
      <c r="C1" s="3" t="s">
        <v>193</v>
      </c>
      <c r="D1" s="3" t="s">
        <v>194</v>
      </c>
      <c r="E1" s="3" t="s">
        <v>195</v>
      </c>
      <c r="F1" s="3" t="s">
        <v>110</v>
      </c>
      <c r="G1" s="3" t="s">
        <v>196</v>
      </c>
      <c r="H1" s="3" t="s">
        <v>197</v>
      </c>
      <c r="I1" s="8" t="s">
        <v>227</v>
      </c>
      <c r="J1" s="3" t="s">
        <v>228</v>
      </c>
      <c r="K1" s="3" t="s">
        <v>111</v>
      </c>
      <c r="L1" s="3" t="s">
        <v>113</v>
      </c>
      <c r="M1" s="3" t="s">
        <v>112</v>
      </c>
      <c r="N1" s="3" t="s">
        <v>114</v>
      </c>
      <c r="O1" s="3" t="s">
        <v>154</v>
      </c>
      <c r="P1" s="3" t="s">
        <v>155</v>
      </c>
      <c r="Q1" s="3" t="s">
        <v>156</v>
      </c>
      <c r="R1" s="3" t="s">
        <v>152</v>
      </c>
      <c r="S1" s="3" t="s">
        <v>151</v>
      </c>
      <c r="T1" s="3" t="s">
        <v>198</v>
      </c>
      <c r="U1" s="3" t="s">
        <v>198</v>
      </c>
      <c r="V1" s="3" t="s">
        <v>198</v>
      </c>
      <c r="W1" s="3" t="s">
        <v>198</v>
      </c>
      <c r="X1" s="3" t="s">
        <v>198</v>
      </c>
      <c r="Y1" s="3" t="s">
        <v>198</v>
      </c>
      <c r="Z1" s="3" t="s">
        <v>198</v>
      </c>
      <c r="AA1" s="3" t="s">
        <v>198</v>
      </c>
    </row>
    <row r="2" spans="1:27" x14ac:dyDescent="0.25">
      <c r="A2" s="3">
        <v>1</v>
      </c>
      <c r="B2" s="3">
        <v>1</v>
      </c>
      <c r="C2" s="3" t="s">
        <v>225</v>
      </c>
      <c r="D2" s="3" t="s">
        <v>226</v>
      </c>
      <c r="E2" s="3">
        <v>25</v>
      </c>
      <c r="F2" t="s">
        <v>149</v>
      </c>
      <c r="G2" s="3"/>
      <c r="H2" s="3"/>
      <c r="I2" s="8">
        <v>1</v>
      </c>
      <c r="J2" s="3" t="s">
        <v>125</v>
      </c>
      <c r="K2">
        <v>75</v>
      </c>
      <c r="L2">
        <v>75</v>
      </c>
      <c r="M2">
        <v>75</v>
      </c>
      <c r="N2">
        <v>75</v>
      </c>
      <c r="O2">
        <v>25</v>
      </c>
      <c r="P2">
        <v>25</v>
      </c>
      <c r="Q2">
        <v>25</v>
      </c>
      <c r="R2">
        <v>60</v>
      </c>
      <c r="S2">
        <v>100</v>
      </c>
      <c r="T2" s="3"/>
      <c r="U2" s="3"/>
      <c r="V2" s="3"/>
      <c r="W2" s="3"/>
      <c r="X2" s="3"/>
      <c r="Y2" s="3"/>
      <c r="Z2" s="3"/>
      <c r="AA2" s="3"/>
    </row>
    <row r="3" spans="1:27" x14ac:dyDescent="0.25">
      <c r="A3" s="3">
        <v>2</v>
      </c>
      <c r="B3" s="3">
        <v>1</v>
      </c>
      <c r="C3" s="3" t="s">
        <v>225</v>
      </c>
      <c r="D3" s="3" t="s">
        <v>226</v>
      </c>
      <c r="E3" s="3">
        <v>25</v>
      </c>
      <c r="F3" t="s">
        <v>148</v>
      </c>
      <c r="G3" s="3"/>
      <c r="H3" s="3"/>
      <c r="I3" s="8">
        <v>2</v>
      </c>
      <c r="J3" s="3" t="s">
        <v>125</v>
      </c>
      <c r="K3">
        <v>75</v>
      </c>
      <c r="L3">
        <v>75</v>
      </c>
      <c r="M3">
        <v>75</v>
      </c>
      <c r="N3">
        <v>75</v>
      </c>
      <c r="O3">
        <v>25</v>
      </c>
      <c r="P3">
        <v>25</v>
      </c>
      <c r="Q3">
        <v>25</v>
      </c>
      <c r="R3">
        <v>60</v>
      </c>
      <c r="S3">
        <v>100</v>
      </c>
      <c r="T3" s="3"/>
      <c r="U3" s="3"/>
      <c r="V3" s="3"/>
      <c r="W3" s="3"/>
      <c r="X3" s="3"/>
      <c r="Y3" s="3"/>
      <c r="Z3" s="3"/>
      <c r="AA3" s="3"/>
    </row>
    <row r="4" spans="1:27" x14ac:dyDescent="0.25">
      <c r="A4" s="3">
        <v>3</v>
      </c>
      <c r="B4" s="3">
        <v>1</v>
      </c>
      <c r="C4" s="3" t="s">
        <v>225</v>
      </c>
      <c r="D4" s="3" t="s">
        <v>226</v>
      </c>
      <c r="E4" s="3">
        <v>25</v>
      </c>
      <c r="F4" t="s">
        <v>147</v>
      </c>
      <c r="I4" s="8">
        <v>3</v>
      </c>
      <c r="J4" s="3" t="s">
        <v>125</v>
      </c>
      <c r="K4">
        <v>75</v>
      </c>
      <c r="L4">
        <v>75</v>
      </c>
      <c r="M4">
        <v>75</v>
      </c>
      <c r="N4">
        <v>75</v>
      </c>
      <c r="O4">
        <v>25</v>
      </c>
      <c r="P4">
        <v>25</v>
      </c>
      <c r="Q4">
        <v>25</v>
      </c>
      <c r="R4">
        <v>60</v>
      </c>
      <c r="S4">
        <v>100</v>
      </c>
    </row>
    <row r="5" spans="1:27" x14ac:dyDescent="0.25">
      <c r="A5" s="3">
        <v>4</v>
      </c>
      <c r="B5" s="3">
        <v>1</v>
      </c>
      <c r="C5" s="3" t="s">
        <v>225</v>
      </c>
      <c r="D5" s="3" t="s">
        <v>226</v>
      </c>
      <c r="E5" s="3">
        <v>25</v>
      </c>
      <c r="F5" t="s">
        <v>146</v>
      </c>
      <c r="I5" s="8">
        <v>4</v>
      </c>
      <c r="J5" s="3" t="s">
        <v>125</v>
      </c>
      <c r="K5">
        <v>75</v>
      </c>
      <c r="L5">
        <v>75</v>
      </c>
      <c r="M5">
        <v>75</v>
      </c>
      <c r="N5">
        <v>75</v>
      </c>
      <c r="O5">
        <v>25</v>
      </c>
      <c r="P5">
        <v>25</v>
      </c>
      <c r="Q5">
        <v>25</v>
      </c>
      <c r="R5">
        <v>60</v>
      </c>
      <c r="S5">
        <v>100</v>
      </c>
    </row>
    <row r="6" spans="1:27" x14ac:dyDescent="0.25">
      <c r="A6" s="3">
        <v>5</v>
      </c>
      <c r="B6" s="3">
        <v>1</v>
      </c>
      <c r="C6" s="3" t="s">
        <v>225</v>
      </c>
      <c r="D6" s="3" t="s">
        <v>226</v>
      </c>
      <c r="E6" s="3">
        <v>25</v>
      </c>
      <c r="F6" t="s">
        <v>145</v>
      </c>
      <c r="I6" s="8">
        <v>5</v>
      </c>
      <c r="J6" s="3" t="s">
        <v>125</v>
      </c>
      <c r="K6">
        <v>75</v>
      </c>
      <c r="L6">
        <v>75</v>
      </c>
      <c r="M6">
        <v>75</v>
      </c>
      <c r="N6">
        <v>75</v>
      </c>
      <c r="O6">
        <v>25</v>
      </c>
      <c r="P6">
        <v>25</v>
      </c>
      <c r="Q6">
        <v>25</v>
      </c>
      <c r="R6">
        <v>60</v>
      </c>
      <c r="S6">
        <v>100</v>
      </c>
    </row>
    <row r="7" spans="1:27" x14ac:dyDescent="0.25">
      <c r="A7" s="3">
        <v>6</v>
      </c>
      <c r="B7" s="3">
        <v>1</v>
      </c>
      <c r="C7" s="3" t="s">
        <v>225</v>
      </c>
      <c r="D7" s="3" t="s">
        <v>226</v>
      </c>
      <c r="E7" s="3">
        <v>25</v>
      </c>
      <c r="F7" t="s">
        <v>144</v>
      </c>
      <c r="I7" s="8">
        <v>6</v>
      </c>
      <c r="J7" s="3" t="s">
        <v>125</v>
      </c>
      <c r="K7">
        <v>75</v>
      </c>
      <c r="L7">
        <v>75</v>
      </c>
      <c r="M7">
        <v>75</v>
      </c>
      <c r="N7">
        <v>75</v>
      </c>
      <c r="O7">
        <v>25</v>
      </c>
      <c r="P7">
        <v>25</v>
      </c>
      <c r="Q7">
        <v>25</v>
      </c>
      <c r="R7">
        <v>60</v>
      </c>
      <c r="S7">
        <v>100</v>
      </c>
    </row>
    <row r="8" spans="1:27" x14ac:dyDescent="0.25">
      <c r="A8" s="3">
        <v>7</v>
      </c>
      <c r="B8" s="3">
        <v>1</v>
      </c>
      <c r="C8" s="3" t="s">
        <v>225</v>
      </c>
      <c r="D8" s="3" t="s">
        <v>226</v>
      </c>
      <c r="E8" s="3">
        <v>25</v>
      </c>
      <c r="F8" t="s">
        <v>143</v>
      </c>
      <c r="I8" s="8">
        <v>7</v>
      </c>
      <c r="J8" s="3" t="s">
        <v>125</v>
      </c>
      <c r="K8">
        <v>75</v>
      </c>
      <c r="L8">
        <v>75</v>
      </c>
      <c r="M8">
        <v>75</v>
      </c>
      <c r="N8">
        <v>75</v>
      </c>
      <c r="O8">
        <v>25</v>
      </c>
      <c r="P8">
        <v>25</v>
      </c>
      <c r="Q8">
        <v>25</v>
      </c>
      <c r="R8">
        <v>60</v>
      </c>
      <c r="S8">
        <v>100</v>
      </c>
    </row>
    <row r="9" spans="1:27" x14ac:dyDescent="0.25">
      <c r="A9" s="3">
        <v>8</v>
      </c>
      <c r="B9" s="3">
        <v>1</v>
      </c>
      <c r="C9" s="3" t="s">
        <v>225</v>
      </c>
      <c r="D9" s="3" t="s">
        <v>226</v>
      </c>
      <c r="E9" s="3">
        <v>25</v>
      </c>
      <c r="F9" t="s">
        <v>141</v>
      </c>
      <c r="I9" s="8">
        <v>9</v>
      </c>
      <c r="J9" s="3" t="s">
        <v>125</v>
      </c>
      <c r="K9">
        <v>25</v>
      </c>
      <c r="L9">
        <v>25</v>
      </c>
      <c r="M9">
        <v>25</v>
      </c>
      <c r="N9">
        <v>25</v>
      </c>
      <c r="O9">
        <v>25</v>
      </c>
      <c r="P9">
        <v>25</v>
      </c>
      <c r="Q9">
        <v>25</v>
      </c>
      <c r="R9">
        <v>60</v>
      </c>
      <c r="S9">
        <v>100</v>
      </c>
    </row>
    <row r="10" spans="1:27" x14ac:dyDescent="0.25">
      <c r="A10" s="3">
        <v>9</v>
      </c>
      <c r="B10" s="3">
        <v>1</v>
      </c>
      <c r="C10" s="3" t="s">
        <v>225</v>
      </c>
      <c r="D10" s="3" t="s">
        <v>226</v>
      </c>
      <c r="E10" s="3">
        <v>25</v>
      </c>
      <c r="F10" t="s">
        <v>142</v>
      </c>
      <c r="I10" s="8">
        <v>8</v>
      </c>
      <c r="J10" s="3" t="s">
        <v>125</v>
      </c>
      <c r="K10">
        <v>75</v>
      </c>
      <c r="L10">
        <v>75</v>
      </c>
      <c r="M10">
        <v>75</v>
      </c>
      <c r="N10">
        <v>75</v>
      </c>
      <c r="O10">
        <v>25</v>
      </c>
      <c r="P10">
        <v>25</v>
      </c>
      <c r="Q10">
        <v>25</v>
      </c>
      <c r="R10">
        <v>60</v>
      </c>
      <c r="S10">
        <v>100</v>
      </c>
    </row>
    <row r="11" spans="1:27" x14ac:dyDescent="0.25">
      <c r="A11" s="3">
        <v>10</v>
      </c>
      <c r="B11" s="3">
        <v>1</v>
      </c>
      <c r="C11" s="3" t="s">
        <v>225</v>
      </c>
      <c r="D11" s="3" t="s">
        <v>226</v>
      </c>
      <c r="E11" s="3">
        <v>25</v>
      </c>
      <c r="F11" t="s">
        <v>149</v>
      </c>
      <c r="I11" s="8">
        <v>0</v>
      </c>
      <c r="J11" s="3" t="s">
        <v>150</v>
      </c>
      <c r="K11">
        <v>60</v>
      </c>
      <c r="L11">
        <v>60</v>
      </c>
      <c r="M11">
        <v>60</v>
      </c>
      <c r="N11">
        <v>60</v>
      </c>
      <c r="O11">
        <v>25</v>
      </c>
      <c r="P11">
        <v>25</v>
      </c>
      <c r="Q11">
        <v>25</v>
      </c>
      <c r="R11">
        <v>60</v>
      </c>
      <c r="S11">
        <v>100</v>
      </c>
    </row>
    <row r="12" spans="1:27" x14ac:dyDescent="0.25">
      <c r="A12" s="3">
        <v>11</v>
      </c>
      <c r="B12" s="3">
        <v>1</v>
      </c>
      <c r="C12" s="3" t="s">
        <v>225</v>
      </c>
      <c r="D12" s="3" t="s">
        <v>226</v>
      </c>
      <c r="E12" s="3">
        <v>25</v>
      </c>
      <c r="F12" t="s">
        <v>148</v>
      </c>
      <c r="I12" s="8">
        <v>0</v>
      </c>
      <c r="J12" s="3" t="s">
        <v>150</v>
      </c>
      <c r="K12">
        <v>60</v>
      </c>
      <c r="L12">
        <v>60</v>
      </c>
      <c r="M12">
        <v>60</v>
      </c>
      <c r="N12">
        <v>60</v>
      </c>
      <c r="O12">
        <v>25</v>
      </c>
      <c r="P12">
        <v>25</v>
      </c>
      <c r="Q12">
        <v>25</v>
      </c>
      <c r="R12">
        <v>60</v>
      </c>
      <c r="S12">
        <v>100</v>
      </c>
    </row>
    <row r="13" spans="1:27" x14ac:dyDescent="0.25">
      <c r="A13" s="3">
        <v>12</v>
      </c>
      <c r="B13" s="3">
        <v>1</v>
      </c>
      <c r="C13" s="3" t="s">
        <v>225</v>
      </c>
      <c r="D13" s="3" t="s">
        <v>226</v>
      </c>
      <c r="E13" s="3">
        <v>25</v>
      </c>
      <c r="F13" t="s">
        <v>147</v>
      </c>
      <c r="I13" s="8">
        <v>0</v>
      </c>
      <c r="J13" s="3" t="s">
        <v>150</v>
      </c>
      <c r="K13">
        <v>60</v>
      </c>
      <c r="L13">
        <v>60</v>
      </c>
      <c r="M13">
        <v>60</v>
      </c>
      <c r="N13">
        <v>60</v>
      </c>
      <c r="O13">
        <v>25</v>
      </c>
      <c r="P13">
        <v>25</v>
      </c>
      <c r="Q13">
        <v>25</v>
      </c>
      <c r="R13">
        <v>60</v>
      </c>
      <c r="S13">
        <v>100</v>
      </c>
    </row>
    <row r="14" spans="1:27" x14ac:dyDescent="0.25">
      <c r="A14" s="3">
        <v>13</v>
      </c>
      <c r="B14" s="3">
        <v>1</v>
      </c>
      <c r="C14" s="3" t="s">
        <v>225</v>
      </c>
      <c r="D14" s="3" t="s">
        <v>226</v>
      </c>
      <c r="E14" s="3">
        <v>25</v>
      </c>
      <c r="F14" t="s">
        <v>146</v>
      </c>
      <c r="I14" s="8">
        <v>0</v>
      </c>
      <c r="J14" s="3" t="s">
        <v>150</v>
      </c>
      <c r="K14">
        <v>60</v>
      </c>
      <c r="L14">
        <v>60</v>
      </c>
      <c r="M14">
        <v>60</v>
      </c>
      <c r="N14">
        <v>60</v>
      </c>
      <c r="O14">
        <v>25</v>
      </c>
      <c r="P14">
        <v>25</v>
      </c>
      <c r="Q14">
        <v>25</v>
      </c>
      <c r="R14">
        <v>60</v>
      </c>
      <c r="S14">
        <v>100</v>
      </c>
    </row>
    <row r="15" spans="1:27" x14ac:dyDescent="0.25">
      <c r="A15" s="3">
        <v>14</v>
      </c>
      <c r="B15" s="3">
        <v>1</v>
      </c>
      <c r="C15" s="3" t="s">
        <v>225</v>
      </c>
      <c r="D15" s="3" t="s">
        <v>226</v>
      </c>
      <c r="E15" s="3">
        <v>25</v>
      </c>
      <c r="F15" t="s">
        <v>145</v>
      </c>
      <c r="I15" s="8">
        <v>0</v>
      </c>
      <c r="J15" s="3" t="s">
        <v>150</v>
      </c>
      <c r="K15">
        <v>60</v>
      </c>
      <c r="L15">
        <v>60</v>
      </c>
      <c r="M15">
        <v>60</v>
      </c>
      <c r="N15">
        <v>60</v>
      </c>
      <c r="O15">
        <v>25</v>
      </c>
      <c r="P15">
        <v>25</v>
      </c>
      <c r="Q15">
        <v>25</v>
      </c>
      <c r="R15">
        <v>60</v>
      </c>
      <c r="S15">
        <v>100</v>
      </c>
    </row>
    <row r="16" spans="1:27" x14ac:dyDescent="0.25">
      <c r="A16" s="3">
        <v>15</v>
      </c>
      <c r="B16" s="3">
        <v>1</v>
      </c>
      <c r="C16" s="3" t="s">
        <v>225</v>
      </c>
      <c r="D16" s="3" t="s">
        <v>226</v>
      </c>
      <c r="E16" s="3">
        <v>25</v>
      </c>
      <c r="F16" t="s">
        <v>144</v>
      </c>
      <c r="I16" s="8">
        <v>0</v>
      </c>
      <c r="J16" s="3" t="s">
        <v>150</v>
      </c>
      <c r="K16">
        <v>60</v>
      </c>
      <c r="L16">
        <v>60</v>
      </c>
      <c r="M16">
        <v>60</v>
      </c>
      <c r="N16">
        <v>60</v>
      </c>
      <c r="O16">
        <v>25</v>
      </c>
      <c r="P16">
        <v>25</v>
      </c>
      <c r="Q16">
        <v>25</v>
      </c>
      <c r="R16">
        <v>60</v>
      </c>
      <c r="S16">
        <v>100</v>
      </c>
    </row>
    <row r="17" spans="1:19" x14ac:dyDescent="0.25">
      <c r="A17" s="3">
        <v>16</v>
      </c>
      <c r="B17" s="3">
        <v>1</v>
      </c>
      <c r="C17" s="3" t="s">
        <v>225</v>
      </c>
      <c r="D17" s="3" t="s">
        <v>226</v>
      </c>
      <c r="E17" s="3">
        <v>25</v>
      </c>
      <c r="F17" t="s">
        <v>143</v>
      </c>
      <c r="I17" s="8">
        <v>0</v>
      </c>
      <c r="J17" s="3" t="s">
        <v>150</v>
      </c>
      <c r="K17">
        <v>60</v>
      </c>
      <c r="L17">
        <v>60</v>
      </c>
      <c r="M17">
        <v>60</v>
      </c>
      <c r="N17">
        <v>60</v>
      </c>
      <c r="O17">
        <v>25</v>
      </c>
      <c r="P17">
        <v>25</v>
      </c>
      <c r="Q17">
        <v>25</v>
      </c>
      <c r="R17">
        <v>60</v>
      </c>
      <c r="S17">
        <v>100</v>
      </c>
    </row>
    <row r="18" spans="1:19" x14ac:dyDescent="0.25">
      <c r="A18" s="3">
        <v>17</v>
      </c>
      <c r="B18" s="3">
        <v>1</v>
      </c>
      <c r="C18" s="3" t="s">
        <v>225</v>
      </c>
      <c r="D18" s="3" t="s">
        <v>226</v>
      </c>
      <c r="E18" s="3">
        <v>25</v>
      </c>
      <c r="F18" t="s">
        <v>142</v>
      </c>
      <c r="I18" s="8">
        <v>0</v>
      </c>
      <c r="J18" s="3" t="s">
        <v>150</v>
      </c>
      <c r="K18">
        <v>60</v>
      </c>
      <c r="L18">
        <v>60</v>
      </c>
      <c r="M18">
        <v>60</v>
      </c>
      <c r="N18">
        <v>60</v>
      </c>
      <c r="O18">
        <v>25</v>
      </c>
      <c r="P18">
        <v>25</v>
      </c>
      <c r="Q18">
        <v>25</v>
      </c>
      <c r="R18">
        <v>60</v>
      </c>
      <c r="S18">
        <v>100</v>
      </c>
    </row>
    <row r="19" spans="1:19" x14ac:dyDescent="0.25">
      <c r="A19" s="3">
        <v>18</v>
      </c>
      <c r="B19" s="3">
        <v>1</v>
      </c>
      <c r="C19" s="3" t="s">
        <v>225</v>
      </c>
      <c r="D19" s="3" t="s">
        <v>226</v>
      </c>
      <c r="E19" s="3">
        <v>25</v>
      </c>
      <c r="F19" t="s">
        <v>141</v>
      </c>
      <c r="I19" s="8">
        <v>0</v>
      </c>
      <c r="J19" s="3" t="s">
        <v>150</v>
      </c>
      <c r="K19">
        <v>25</v>
      </c>
      <c r="L19">
        <v>25</v>
      </c>
      <c r="M19">
        <v>25</v>
      </c>
      <c r="N19">
        <v>25</v>
      </c>
      <c r="O19">
        <v>75</v>
      </c>
      <c r="P19">
        <v>75</v>
      </c>
      <c r="Q19">
        <v>75</v>
      </c>
      <c r="R19">
        <v>60</v>
      </c>
      <c r="S19">
        <v>100</v>
      </c>
    </row>
    <row r="20" spans="1:19" x14ac:dyDescent="0.25">
      <c r="A20" s="3">
        <v>19</v>
      </c>
      <c r="B20" s="3">
        <v>1</v>
      </c>
      <c r="C20" s="3" t="s">
        <v>225</v>
      </c>
      <c r="D20" s="3" t="s">
        <v>226</v>
      </c>
      <c r="E20" s="3">
        <v>25</v>
      </c>
      <c r="F20" t="s">
        <v>141</v>
      </c>
      <c r="G20" s="3"/>
      <c r="H20" s="3"/>
      <c r="I20" s="8">
        <v>0</v>
      </c>
      <c r="J20" s="3" t="s">
        <v>150</v>
      </c>
      <c r="K20">
        <v>25</v>
      </c>
      <c r="L20">
        <v>25</v>
      </c>
      <c r="M20">
        <v>25</v>
      </c>
      <c r="N20">
        <v>25</v>
      </c>
      <c r="O20">
        <v>75</v>
      </c>
      <c r="P20">
        <v>75</v>
      </c>
      <c r="Q20">
        <v>75</v>
      </c>
      <c r="R20">
        <v>60</v>
      </c>
      <c r="S20">
        <v>100</v>
      </c>
    </row>
    <row r="21" spans="1:19" x14ac:dyDescent="0.25">
      <c r="A21" s="3">
        <v>20</v>
      </c>
      <c r="B21" s="3">
        <v>1</v>
      </c>
      <c r="C21" s="3" t="s">
        <v>225</v>
      </c>
      <c r="D21" s="3" t="s">
        <v>226</v>
      </c>
      <c r="E21" s="3">
        <v>25</v>
      </c>
      <c r="F21" t="s">
        <v>141</v>
      </c>
      <c r="I21" s="8">
        <v>0</v>
      </c>
      <c r="J21" s="3" t="s">
        <v>150</v>
      </c>
      <c r="K21">
        <v>25</v>
      </c>
      <c r="L21">
        <v>25</v>
      </c>
      <c r="M21">
        <v>25</v>
      </c>
      <c r="N21">
        <v>25</v>
      </c>
      <c r="O21">
        <v>75</v>
      </c>
      <c r="P21">
        <v>75</v>
      </c>
      <c r="Q21">
        <v>75</v>
      </c>
      <c r="R21">
        <v>60</v>
      </c>
      <c r="S21">
        <v>100</v>
      </c>
    </row>
    <row r="22" spans="1:19" x14ac:dyDescent="0.25">
      <c r="A22" s="3">
        <v>21</v>
      </c>
      <c r="B22" s="3">
        <v>1</v>
      </c>
      <c r="C22" s="3" t="s">
        <v>225</v>
      </c>
      <c r="D22" s="3" t="s">
        <v>226</v>
      </c>
      <c r="E22" s="3">
        <v>25</v>
      </c>
      <c r="F22" t="s">
        <v>141</v>
      </c>
      <c r="I22" s="8">
        <v>0</v>
      </c>
      <c r="J22" s="3" t="s">
        <v>150</v>
      </c>
      <c r="K22">
        <v>25</v>
      </c>
      <c r="L22">
        <v>25</v>
      </c>
      <c r="M22">
        <v>25</v>
      </c>
      <c r="N22">
        <v>25</v>
      </c>
      <c r="O22">
        <v>75</v>
      </c>
      <c r="P22">
        <v>75</v>
      </c>
      <c r="Q22">
        <v>75</v>
      </c>
      <c r="R22">
        <v>60</v>
      </c>
      <c r="S22">
        <v>100</v>
      </c>
    </row>
    <row r="23" spans="1:19" x14ac:dyDescent="0.25">
      <c r="A23" s="3">
        <v>22</v>
      </c>
      <c r="B23" s="3">
        <v>1</v>
      </c>
      <c r="C23" s="3" t="s">
        <v>225</v>
      </c>
      <c r="D23" s="3" t="s">
        <v>226</v>
      </c>
      <c r="E23" s="3">
        <v>25</v>
      </c>
      <c r="F23" t="s">
        <v>141</v>
      </c>
      <c r="I23" s="8">
        <v>0</v>
      </c>
      <c r="J23" s="3" t="s">
        <v>150</v>
      </c>
      <c r="K23">
        <v>25</v>
      </c>
      <c r="L23">
        <v>25</v>
      </c>
      <c r="M23">
        <v>25</v>
      </c>
      <c r="N23">
        <v>25</v>
      </c>
      <c r="O23">
        <v>75</v>
      </c>
      <c r="P23">
        <v>75</v>
      </c>
      <c r="Q23">
        <v>75</v>
      </c>
      <c r="R23">
        <v>60</v>
      </c>
      <c r="S23">
        <v>100</v>
      </c>
    </row>
    <row r="24" spans="1:19" x14ac:dyDescent="0.25">
      <c r="A24" s="3">
        <v>23</v>
      </c>
      <c r="B24" s="3">
        <v>1</v>
      </c>
      <c r="C24" s="3" t="s">
        <v>225</v>
      </c>
      <c r="D24" s="3" t="s">
        <v>226</v>
      </c>
      <c r="E24" s="3">
        <v>25</v>
      </c>
      <c r="F24" t="s">
        <v>141</v>
      </c>
      <c r="I24" s="8">
        <v>0</v>
      </c>
      <c r="J24" s="3" t="s">
        <v>150</v>
      </c>
      <c r="K24">
        <v>25</v>
      </c>
      <c r="L24">
        <v>25</v>
      </c>
      <c r="M24">
        <v>25</v>
      </c>
      <c r="N24">
        <v>25</v>
      </c>
      <c r="O24">
        <v>75</v>
      </c>
      <c r="P24">
        <v>75</v>
      </c>
      <c r="Q24">
        <v>75</v>
      </c>
      <c r="R24">
        <v>60</v>
      </c>
      <c r="S24">
        <v>100</v>
      </c>
    </row>
    <row r="25" spans="1:19" x14ac:dyDescent="0.25">
      <c r="A25" s="3">
        <v>24</v>
      </c>
      <c r="B25" s="3">
        <v>1</v>
      </c>
      <c r="C25" s="3" t="s">
        <v>225</v>
      </c>
      <c r="D25" s="3" t="s">
        <v>226</v>
      </c>
      <c r="E25" s="3">
        <v>25</v>
      </c>
      <c r="F25" t="s">
        <v>141</v>
      </c>
      <c r="I25" s="8">
        <v>0</v>
      </c>
      <c r="J25" s="3" t="s">
        <v>150</v>
      </c>
      <c r="K25">
        <v>25</v>
      </c>
      <c r="L25">
        <v>25</v>
      </c>
      <c r="M25">
        <v>25</v>
      </c>
      <c r="N25">
        <v>25</v>
      </c>
      <c r="O25">
        <v>75</v>
      </c>
      <c r="P25">
        <v>75</v>
      </c>
      <c r="Q25">
        <v>75</v>
      </c>
      <c r="R25">
        <v>60</v>
      </c>
      <c r="S25">
        <v>100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2A535-893E-4DCA-9E00-8FAF9993F2D0}">
  <dimension ref="A1:E1"/>
  <sheetViews>
    <sheetView workbookViewId="0">
      <selection activeCell="F1" sqref="F1"/>
    </sheetView>
  </sheetViews>
  <sheetFormatPr defaultRowHeight="15" x14ac:dyDescent="0.25"/>
  <sheetData>
    <row r="1" spans="1:5" x14ac:dyDescent="0.25">
      <c r="A1" t="s">
        <v>175</v>
      </c>
      <c r="B1" t="s">
        <v>199</v>
      </c>
      <c r="C1" t="s">
        <v>174</v>
      </c>
      <c r="D1" t="s">
        <v>163</v>
      </c>
      <c r="E1" t="s">
        <v>157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AA683-7716-4884-A596-B9F102D61E5A}">
  <dimension ref="A1"/>
  <sheetViews>
    <sheetView workbookViewId="0">
      <selection activeCell="N31" sqref="N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Home</vt:lpstr>
      <vt:lpstr>Away</vt:lpstr>
      <vt:lpstr>Baseline</vt:lpstr>
      <vt:lpstr>Logic Outline</vt:lpstr>
      <vt:lpstr>Game</vt:lpstr>
      <vt:lpstr>Scalars</vt:lpstr>
      <vt:lpstr>Worlds</vt:lpstr>
      <vt:lpstr>Leagues</vt:lpstr>
      <vt:lpstr>Teams</vt:lpstr>
      <vt:lpstr>Team Seasons</vt:lpstr>
      <vt:lpstr>GameTypes</vt:lpstr>
      <vt:lpstr>Games</vt:lpstr>
      <vt:lpstr>Player</vt:lpstr>
      <vt:lpstr>PlayerGames</vt:lpstr>
      <vt:lpstr>PlayerSeasons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and Katie Lehockey</dc:creator>
  <cp:lastModifiedBy>Jim and Katie Lehockey</cp:lastModifiedBy>
  <dcterms:created xsi:type="dcterms:W3CDTF">2025-01-30T21:33:57Z</dcterms:created>
  <dcterms:modified xsi:type="dcterms:W3CDTF">2025-10-24T14:58:05Z</dcterms:modified>
</cp:coreProperties>
</file>